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\Desktop\DATA ANALYTICS\Practice\Healthcare sample data\"/>
    </mc:Choice>
  </mc:AlternateContent>
  <xr:revisionPtr revIDLastSave="0" documentId="13_ncr:1_{E12CC330-FCD8-463B-8132-657CE0E0C10B}" xr6:coauthVersionLast="45" xr6:coauthVersionMax="45" xr10:uidLastSave="{00000000-0000-0000-0000-000000000000}"/>
  <bookViews>
    <workbookView xWindow="-120" yWindow="-120" windowWidth="20730" windowHeight="11160" activeTab="1" xr2:uid="{A8853131-631D-4E20-8955-70BE2C023290}"/>
  </bookViews>
  <sheets>
    <sheet name="Healthcare Insurance" sheetId="1" r:id="rId1"/>
    <sheet name="Stakholder Prlm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" i="1"/>
  <c r="D122" i="2"/>
  <c r="C122" i="2"/>
  <c r="C108" i="2"/>
  <c r="C9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2" i="1"/>
  <c r="D89" i="2"/>
  <c r="C89" i="2"/>
  <c r="B89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2" i="1"/>
  <c r="D35" i="2"/>
  <c r="C35" i="2"/>
  <c r="D31" i="2"/>
  <c r="C31" i="2"/>
  <c r="D24" i="2"/>
  <c r="C24" i="2"/>
  <c r="D20" i="2"/>
  <c r="D17" i="2"/>
  <c r="D14" i="2"/>
  <c r="C14" i="2"/>
  <c r="D10" i="2"/>
  <c r="C10" i="2"/>
  <c r="D3" i="2"/>
  <c r="D6" i="2"/>
</calcChain>
</file>

<file path=xl/sharedStrings.xml><?xml version="1.0" encoding="utf-8"?>
<sst xmlns="http://schemas.openxmlformats.org/spreadsheetml/2006/main" count="296" uniqueCount="136">
  <si>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</si>
  <si>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</si>
  <si>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</si>
  <si>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</si>
  <si>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</si>
  <si>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</si>
  <si>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</si>
  <si>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</si>
  <si>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</si>
  <si>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</si>
  <si>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</si>
  <si>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</si>
  <si>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</si>
  <si>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</si>
  <si>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</si>
  <si>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</si>
  <si>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</si>
  <si>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</si>
  <si>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</si>
  <si>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</si>
  <si>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</si>
  <si>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</si>
  <si>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</si>
  <si>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</si>
  <si>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</si>
  <si>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</si>
  <si>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</si>
  <si>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</si>
  <si>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</si>
  <si>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</si>
  <si>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</si>
  <si>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</si>
  <si>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</si>
  <si>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</si>
  <si>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</si>
  <si>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</si>
  <si>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</si>
  <si>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</si>
  <si>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</si>
  <si>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</si>
  <si>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</si>
  <si>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</si>
  <si>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</si>
  <si>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</si>
  <si>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</si>
  <si>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</si>
  <si>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</si>
  <si>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</si>
  <si>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</si>
  <si>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</si>
  <si>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</si>
  <si>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</si>
  <si>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</si>
  <si>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</si>
  <si>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</si>
  <si>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</si>
  <si>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</si>
  <si>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</si>
  <si>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</si>
  <si>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</si>
  <si>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</si>
  <si>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</si>
  <si>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</si>
  <si>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</si>
  <si>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</si>
  <si>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</si>
  <si>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</si>
  <si>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</si>
  <si>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</si>
  <si>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</si>
  <si>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</si>
  <si>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</si>
  <si>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</si>
  <si>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</si>
  <si>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</si>
  <si>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</si>
  <si>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</si>
  <si>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</si>
  <si>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</si>
  <si>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</si>
  <si>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</si>
  <si>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</si>
  <si>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</si>
  <si>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</si>
  <si>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</si>
  <si>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</si>
  <si>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</si>
  <si>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</si>
  <si>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</si>
  <si>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</si>
  <si>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</si>
  <si>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</si>
  <si>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</si>
  <si>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</si>
  <si>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</si>
  <si>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</si>
  <si>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</si>
  <si>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</si>
  <si>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</si>
  <si>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</si>
  <si>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</si>
  <si>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</si>
  <si>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</si>
  <si>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</si>
  <si>
    <t>How many total customers are there in the dataset?</t>
  </si>
  <si>
    <t>What is the average insurance price (USD) across all customers?</t>
  </si>
  <si>
    <t>What is the minimum and maximum insurance price?</t>
  </si>
  <si>
    <t>Min</t>
  </si>
  <si>
    <t>Max</t>
  </si>
  <si>
    <t>How many male vs female customers are there?</t>
  </si>
  <si>
    <t>What is the average age of customers?</t>
  </si>
  <si>
    <t>What is the average BMI of customers?</t>
  </si>
  <si>
    <t>How many customers are smokers vs non-smokers?</t>
  </si>
  <si>
    <t>Smokers</t>
  </si>
  <si>
    <t>Non-Smokers</t>
  </si>
  <si>
    <t>Which location has the highest number of customers?</t>
  </si>
  <si>
    <t>What is the average insurance price by gender?</t>
  </si>
  <si>
    <t>Compare average insurance price for smokers vs non-smokers.</t>
  </si>
  <si>
    <t>What is the average insurance price by location?</t>
  </si>
  <si>
    <t>Row Labels</t>
  </si>
  <si>
    <t>Grand Total</t>
  </si>
  <si>
    <t>Sum of Insurance Price (USD)</t>
  </si>
  <si>
    <t>Average of Insurance Price (USD)</t>
  </si>
  <si>
    <t>Age Group</t>
  </si>
  <si>
    <t>Does insurance price increase with age?</t>
  </si>
  <si>
    <t>Under 30</t>
  </si>
  <si>
    <t>30-45</t>
  </si>
  <si>
    <t>Above 45</t>
  </si>
  <si>
    <t>How does BMI category (Underweight, Normal, Overweight, Obese) affect insurance price?</t>
  </si>
  <si>
    <t>What is the average insurance price based on number of children?</t>
  </si>
  <si>
    <t>Identify the top 5 most expensive insurance customers</t>
  </si>
  <si>
    <t>What percentage of total customers are smokers?</t>
  </si>
  <si>
    <t>Which gender + smoking status combination has the highest average cost?</t>
  </si>
  <si>
    <t>Which factor impacts insurance price the most: Age, BMI, or Smoking Status?</t>
  </si>
  <si>
    <t>Risk Segmentation</t>
  </si>
  <si>
    <t>High Risk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</si>
</sst>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2"/>
      <color indexed="9"/>
      <name val="Calibri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/>
    <xf numFmtId="2" fontId="4" fillId="0" borderId="0" xfId="0" applyNumberFormat="1" applyFont="1"/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2" borderId="2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/>
    <xf numFmtId="9" fontId="4" fillId="0" borderId="0" xfId="1" applyFon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34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6.707962615743" createdVersion="6" refreshedVersion="6" minRefreshableVersion="3" recordCount="46" xr:uid="{747EFEF5-FABA-455B-B0A3-C9BDE93910F1}">
  <cacheSource type="worksheet">
    <worksheetSource ref="A1:H47" sheet="Healthcare Insurance"/>
  </cacheSource>
  <cacheFields count="8">
    <cacheField name="Name" numFmtId="0">
      <sharedItems/>
    </cacheField>
    <cacheField name="Age" numFmtId="0">
      <sharedItems containsSemiMixedTypes="0" containsString="0" containsNumber="1" containsInteger="1" minValue="27" maxValue="53"/>
    </cacheField>
    <cacheField name="Gender" numFmtId="0">
      <sharedItems/>
    </cacheField>
    <cacheField name="BMI" numFmtId="0">
      <sharedItems containsSemiMixedTypes="0" containsString="0" containsNumber="1" minValue="22.3" maxValue="35.299999999999997"/>
    </cacheField>
    <cacheField name="Children" numFmtId="0">
      <sharedItems containsSemiMixedTypes="0" containsString="0" containsNumber="1" containsInteger="1" minValue="0" maxValue="3"/>
    </cacheField>
    <cacheField name="Smoking Status" numFmtId="0">
      <sharedItems/>
    </cacheField>
    <cacheField name="Location" numFmtId="0">
      <sharedItems count="46">
        <s v="New York"/>
        <s v="Los Angeles"/>
        <s v="Chicago"/>
        <s v="Houston"/>
        <s v="Phoenix"/>
        <s v="Philadelphia"/>
        <s v="San Antonio"/>
        <s v="San Diego"/>
        <s v="Dallas"/>
        <s v="San Jose"/>
        <s v="Austin"/>
        <s v="Jacksonville"/>
        <s v="San Francisco"/>
        <s v="Indianapolis"/>
        <s v="Columbus"/>
        <s v="Fort Worth"/>
        <s v="Charlotte"/>
        <s v="Seattle"/>
        <s v="Denver"/>
        <s v="Detroit"/>
        <s v="Washington"/>
        <s v="Boston"/>
        <s v="Nashville"/>
        <s v="Memphis"/>
        <s v="Portland"/>
        <s v="Oklahoma City"/>
        <s v="Las Vegas"/>
        <s v="Louisville"/>
        <s v="Baltimore"/>
        <s v="Milwaukee"/>
        <s v="Albuquerque"/>
        <s v="Tucson"/>
        <s v="Fresno"/>
        <s v="Sacramento"/>
        <s v="Mesa"/>
        <s v="Atlanta"/>
        <s v="Kansas City"/>
        <s v="Miami"/>
        <s v="Long Beach"/>
        <s v="Virginia Beach"/>
        <s v="Oakland"/>
        <s v="Tulsa"/>
        <s v="Tampa"/>
        <s v="Arlington"/>
        <s v="Wichita"/>
        <s v="New Orleans"/>
      </sharedItems>
    </cacheField>
    <cacheField name="Insurance Price (USD)" numFmtId="0">
      <sharedItems containsSemiMixedTypes="0" containsString="0" containsNumber="1" containsInteger="1" minValue="9600" maxValue="32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6.813309143516" createdVersion="6" refreshedVersion="6" minRefreshableVersion="3" recordCount="46" xr:uid="{7E34D2FA-64B7-4B7C-8BE3-88F814C8D4B7}">
  <cacheSource type="worksheet">
    <worksheetSource ref="A1:J47" sheet="Healthcare Insurance"/>
  </cacheSource>
  <cacheFields count="10">
    <cacheField name="Name" numFmtId="0">
      <sharedItems count="46">
        <s v="John Smith"/>
        <s v="Emily Johnson"/>
        <s v="Michael Williams"/>
        <s v="Sarah Brown"/>
        <s v="David Jones"/>
        <s v="Jennifer Martinez"/>
        <s v="Daniel Anderson"/>
        <s v="Jessica Wilson"/>
        <s v="Matthew Taylor"/>
        <s v="Emma Garcia"/>
        <s v="Christopher Rodriguez"/>
        <s v="Olivia Hernandez"/>
        <s v="James Martinez"/>
        <s v="Sophia Thompson"/>
        <s v="David Lopez"/>
        <s v="Isabella Perez"/>
        <s v="Daniel Scott"/>
        <s v="Amelia Moore"/>
        <s v="Michael Wilson"/>
        <s v="Mia Taylor"/>
        <s v="Ethan Harris"/>
        <s v="Ava Martin"/>
        <s v="Alexander King"/>
        <s v="Chloe Lee"/>
        <s v="William White"/>
        <s v="Abigail Allen"/>
        <s v="Ryan Hall"/>
        <s v="Harper Young"/>
        <s v="Benjamin Hernandez"/>
        <s v="Evelyn Garcia"/>
        <s v="Lucas Martinez"/>
        <s v="Zoe Scott"/>
        <s v="Aiden Adams"/>
        <s v="Nora Wood"/>
        <s v="Jackson Mitchell"/>
        <s v="Leah Price"/>
        <s v="Logan Carter"/>
        <s v="Avery Cooper"/>
        <s v="Henry Rivera"/>
        <s v="Ella Richardson"/>
        <s v="David Perez"/>
        <s v="Scarlett Ross"/>
        <s v="Jack Ward"/>
        <s v="Lily Morris"/>
        <s v="Lucas Baker"/>
        <s v="Sophia Foster"/>
      </sharedItems>
    </cacheField>
    <cacheField name="Age" numFmtId="0">
      <sharedItems containsSemiMixedTypes="0" containsString="0" containsNumber="1" containsInteger="1" minValue="27" maxValue="53"/>
    </cacheField>
    <cacheField name="Gender" numFmtId="0">
      <sharedItems count="2">
        <s v="Male"/>
        <s v="Female"/>
      </sharedItems>
    </cacheField>
    <cacheField name="BMI" numFmtId="0">
      <sharedItems containsSemiMixedTypes="0" containsString="0" containsNumber="1" minValue="22.3" maxValue="35.299999999999997"/>
    </cacheField>
    <cacheField name="Children" numFmtId="0">
      <sharedItems containsSemiMixedTypes="0" containsString="0" containsNumber="1" containsInteger="1" minValue="0" maxValue="3"/>
    </cacheField>
    <cacheField name="Smoking Status" numFmtId="0">
      <sharedItems count="2">
        <s v="Non-Smoker"/>
        <s v="Smoker"/>
      </sharedItems>
    </cacheField>
    <cacheField name="Location" numFmtId="0">
      <sharedItems/>
    </cacheField>
    <cacheField name="Insurance Price (USD)" numFmtId="0">
      <sharedItems containsSemiMixedTypes="0" containsString="0" containsNumber="1" containsInteger="1" minValue="9600" maxValue="32120" count="45">
        <n v="16450"/>
        <n v="21600"/>
        <n v="21080"/>
        <n v="10080"/>
        <n v="17640"/>
        <n v="18000"/>
        <n v="11520"/>
        <n v="16120"/>
        <n v="19720"/>
        <n v="11100"/>
        <n v="18920"/>
        <n v="11020"/>
        <n v="18600"/>
        <n v="15960"/>
        <n v="17550"/>
        <n v="10540"/>
        <n v="20100"/>
        <n v="19600"/>
        <n v="17280"/>
        <n v="12210"/>
        <n v="28980"/>
        <n v="25760"/>
        <n v="9600"/>
        <n v="30550"/>
        <n v="13050"/>
        <n v="23760"/>
        <n v="13940"/>
        <n v="21830"/>
        <n v="19270"/>
        <n v="22400"/>
        <n v="16100"/>
        <n v="25080"/>
        <n v="14430"/>
        <n v="30530"/>
        <n v="9900"/>
        <n v="22200"/>
        <n v="15480"/>
        <n v="24480"/>
        <n v="12000"/>
        <n v="28060"/>
        <n v="14060"/>
        <n v="32120"/>
        <n v="15640"/>
        <n v="20880"/>
        <n v="11840"/>
      </sharedItems>
    </cacheField>
    <cacheField name="Age Group" numFmtId="0">
      <sharedItems/>
    </cacheField>
    <cacheField name="BMI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John Smith"/>
    <n v="35"/>
    <s v="Male"/>
    <n v="29.5"/>
    <n v="0"/>
    <s v="Non-Smoker"/>
    <x v="0"/>
    <n v="16450"/>
  </r>
  <r>
    <s v="Emily Johnson"/>
    <n v="42"/>
    <s v="Female"/>
    <n v="26.8"/>
    <n v="2"/>
    <s v="Non-Smoker"/>
    <x v="1"/>
    <n v="21600"/>
  </r>
  <r>
    <s v="Michael Williams"/>
    <n v="50"/>
    <s v="Male"/>
    <n v="31.2"/>
    <n v="3"/>
    <s v="Smoker"/>
    <x v="2"/>
    <n v="21080"/>
  </r>
  <r>
    <s v="Sarah Brown"/>
    <n v="28"/>
    <s v="Female"/>
    <n v="22.3"/>
    <n v="1"/>
    <s v="Non-Smoker"/>
    <x v="3"/>
    <n v="10080"/>
  </r>
  <r>
    <s v="David Jones"/>
    <n v="39"/>
    <s v="Male"/>
    <n v="28.1"/>
    <n v="2"/>
    <s v="Non-Smoker"/>
    <x v="4"/>
    <n v="17640"/>
  </r>
  <r>
    <s v="Jennifer Martinez"/>
    <n v="45"/>
    <s v="Female"/>
    <n v="29.9"/>
    <n v="0"/>
    <s v="Non-Smoker"/>
    <x v="5"/>
    <n v="18000"/>
  </r>
  <r>
    <s v="Daniel Anderson"/>
    <n v="33"/>
    <s v="Male"/>
    <n v="25.5"/>
    <n v="1"/>
    <s v="Non-Smoker"/>
    <x v="6"/>
    <n v="11520"/>
  </r>
  <r>
    <s v="Jessica Wilson"/>
    <n v="37"/>
    <s v="Female"/>
    <n v="27.4"/>
    <n v="2"/>
    <s v="Smoker"/>
    <x v="7"/>
    <n v="16120"/>
  </r>
  <r>
    <s v="Matthew Taylor"/>
    <n v="47"/>
    <s v="Male"/>
    <n v="33"/>
    <n v="3"/>
    <s v="Non-Smoker"/>
    <x v="8"/>
    <n v="19720"/>
  </r>
  <r>
    <s v="Emma Garcia"/>
    <n v="31"/>
    <s v="Female"/>
    <n v="24.7"/>
    <n v="0"/>
    <s v="Non-Smoker"/>
    <x v="9"/>
    <n v="11100"/>
  </r>
  <r>
    <s v="Christopher Rodriguez"/>
    <n v="40"/>
    <s v="Male"/>
    <n v="30.5"/>
    <n v="2"/>
    <s v="Non-Smoker"/>
    <x v="10"/>
    <n v="18920"/>
  </r>
  <r>
    <s v="Olivia Hernandez"/>
    <n v="29"/>
    <s v="Female"/>
    <n v="23.9"/>
    <n v="1"/>
    <s v="Non-Smoker"/>
    <x v="11"/>
    <n v="11020"/>
  </r>
  <r>
    <s v="James Martinez"/>
    <n v="48"/>
    <s v="Male"/>
    <n v="32.700000000000003"/>
    <n v="3"/>
    <s v="Smoker"/>
    <x v="12"/>
    <n v="18600"/>
  </r>
  <r>
    <s v="Sophia Thompson"/>
    <n v="36"/>
    <s v="Female"/>
    <n v="28.3"/>
    <n v="0"/>
    <s v="Non-Smoker"/>
    <x v="13"/>
    <n v="15960"/>
  </r>
  <r>
    <s v="David Lopez"/>
    <n v="43"/>
    <s v="Male"/>
    <n v="29.8"/>
    <n v="2"/>
    <s v="Non-Smoker"/>
    <x v="14"/>
    <n v="17550"/>
  </r>
  <r>
    <s v="Isabella Perez"/>
    <n v="32"/>
    <s v="Female"/>
    <n v="25.1"/>
    <n v="1"/>
    <s v="Non-Smoker"/>
    <x v="15"/>
    <n v="10540"/>
  </r>
  <r>
    <s v="Daniel Scott"/>
    <n v="39"/>
    <s v="Male"/>
    <n v="27.9"/>
    <n v="3"/>
    <s v="Smoker"/>
    <x v="16"/>
    <n v="20100"/>
  </r>
  <r>
    <s v="Amelia Moore"/>
    <n v="41"/>
    <s v="Female"/>
    <n v="31.5"/>
    <n v="0"/>
    <s v="Non-Smoker"/>
    <x v="17"/>
    <n v="19600"/>
  </r>
  <r>
    <s v="Michael Wilson"/>
    <n v="46"/>
    <s v="Male"/>
    <n v="34.200000000000003"/>
    <n v="2"/>
    <s v="Non-Smoker"/>
    <x v="18"/>
    <n v="17280"/>
  </r>
  <r>
    <s v="Mia Taylor"/>
    <n v="30"/>
    <s v="Female"/>
    <n v="26"/>
    <n v="1"/>
    <s v="Non-Smoker"/>
    <x v="19"/>
    <n v="12210"/>
  </r>
  <r>
    <s v="Ethan Harris"/>
    <n v="44"/>
    <s v="Male"/>
    <n v="29.6"/>
    <n v="3"/>
    <s v="Smoker"/>
    <x v="20"/>
    <n v="28980"/>
  </r>
  <r>
    <s v="Ava Martin"/>
    <n v="35"/>
    <s v="Female"/>
    <n v="28.8"/>
    <n v="0"/>
    <s v="Non-Smoker"/>
    <x v="21"/>
    <n v="12210"/>
  </r>
  <r>
    <s v="Alexander King"/>
    <n v="49"/>
    <s v="Male"/>
    <n v="33.799999999999997"/>
    <n v="2"/>
    <s v="Non-Smoker"/>
    <x v="22"/>
    <n v="25760"/>
  </r>
  <r>
    <s v="Chloe Lee"/>
    <n v="34"/>
    <s v="Female"/>
    <n v="25.9"/>
    <n v="1"/>
    <s v="Non-Smoker"/>
    <x v="23"/>
    <n v="9600"/>
  </r>
  <r>
    <s v="William White"/>
    <n v="38"/>
    <s v="Male"/>
    <n v="26.3"/>
    <n v="2"/>
    <s v="Smoker"/>
    <x v="24"/>
    <n v="30550"/>
  </r>
  <r>
    <s v="Abigail Allen"/>
    <n v="27"/>
    <s v="Female"/>
    <n v="24.5"/>
    <n v="0"/>
    <s v="Non-Smoker"/>
    <x v="25"/>
    <n v="13050"/>
  </r>
  <r>
    <s v="Ryan Hall"/>
    <n v="52"/>
    <s v="Male"/>
    <n v="35.1"/>
    <n v="3"/>
    <s v="Smoker"/>
    <x v="26"/>
    <n v="23760"/>
  </r>
  <r>
    <s v="Harper Young"/>
    <n v="33"/>
    <s v="Female"/>
    <n v="27.6"/>
    <n v="1"/>
    <s v="Non-Smoker"/>
    <x v="27"/>
    <n v="13940"/>
  </r>
  <r>
    <s v="Benjamin Hernandez"/>
    <n v="50"/>
    <s v="Male"/>
    <n v="31.8"/>
    <n v="2"/>
    <s v="Non-Smoker"/>
    <x v="28"/>
    <n v="21830"/>
  </r>
  <r>
    <s v="Evelyn Garcia"/>
    <n v="39"/>
    <s v="Female"/>
    <n v="29.2"/>
    <n v="0"/>
    <s v="Non-Smoker"/>
    <x v="29"/>
    <n v="19270"/>
  </r>
  <r>
    <s v="Lucas Martinez"/>
    <n v="47"/>
    <s v="Male"/>
    <n v="32.5"/>
    <n v="3"/>
    <s v="Smoker"/>
    <x v="30"/>
    <n v="22400"/>
  </r>
  <r>
    <s v="Zoe Scott"/>
    <n v="31"/>
    <s v="Female"/>
    <n v="26.5"/>
    <n v="1"/>
    <s v="Non-Smoker"/>
    <x v="31"/>
    <n v="16100"/>
  </r>
  <r>
    <s v="Aiden Adams"/>
    <n v="45"/>
    <s v="Male"/>
    <n v="30.3"/>
    <n v="2"/>
    <s v="Non-Smoker"/>
    <x v="32"/>
    <n v="25080"/>
  </r>
  <r>
    <s v="Nora Wood"/>
    <n v="37"/>
    <s v="Female"/>
    <n v="28"/>
    <n v="0"/>
    <s v="Non-Smoker"/>
    <x v="33"/>
    <n v="14430"/>
  </r>
  <r>
    <s v="Jackson Mitchell"/>
    <n v="48"/>
    <s v="Male"/>
    <n v="33.5"/>
    <n v="3"/>
    <s v="Smoker"/>
    <x v="34"/>
    <n v="30530"/>
  </r>
  <r>
    <s v="Leah Price"/>
    <n v="29"/>
    <s v="Female"/>
    <n v="25.3"/>
    <n v="1"/>
    <s v="Non-Smoker"/>
    <x v="35"/>
    <n v="9900"/>
  </r>
  <r>
    <s v="Logan Carter"/>
    <n v="51"/>
    <s v="Male"/>
    <n v="34.700000000000003"/>
    <n v="2"/>
    <s v="Non-Smoker"/>
    <x v="36"/>
    <n v="22200"/>
  </r>
  <r>
    <s v="Avery Cooper"/>
    <n v="32"/>
    <s v="Female"/>
    <n v="27.2"/>
    <n v="0"/>
    <s v="Non-Smoker"/>
    <x v="37"/>
    <n v="15480"/>
  </r>
  <r>
    <s v="Henry Rivera"/>
    <n v="46"/>
    <s v="Male"/>
    <n v="31"/>
    <n v="3"/>
    <s v="Smoker"/>
    <x v="38"/>
    <n v="24480"/>
  </r>
  <r>
    <s v="Ella Richardson"/>
    <n v="36"/>
    <s v="Female"/>
    <n v="29.1"/>
    <n v="1"/>
    <s v="Non-Smoker"/>
    <x v="39"/>
    <n v="12000"/>
  </r>
  <r>
    <s v="David Perez"/>
    <n v="49"/>
    <s v="Male"/>
    <n v="32.799999999999997"/>
    <n v="2"/>
    <s v="Non-Smoker"/>
    <x v="40"/>
    <n v="28060"/>
  </r>
  <r>
    <s v="Scarlett Ross"/>
    <n v="38"/>
    <s v="Female"/>
    <n v="27.8"/>
    <n v="0"/>
    <s v="Non-Smoker"/>
    <x v="41"/>
    <n v="14060"/>
  </r>
  <r>
    <s v="Jack Ward"/>
    <n v="53"/>
    <s v="Male"/>
    <n v="35.299999999999997"/>
    <n v="3"/>
    <s v="Smoker"/>
    <x v="42"/>
    <n v="32120"/>
  </r>
  <r>
    <s v="Lily Morris"/>
    <n v="34"/>
    <s v="Female"/>
    <n v="26.4"/>
    <n v="1"/>
    <s v="Non-Smoker"/>
    <x v="43"/>
    <n v="15640"/>
  </r>
  <r>
    <s v="Lucas Baker"/>
    <n v="48"/>
    <s v="Male"/>
    <n v="31.7"/>
    <n v="2"/>
    <s v="Non-Smoker"/>
    <x v="44"/>
    <n v="20880"/>
  </r>
  <r>
    <s v="Sophia Foster"/>
    <n v="30"/>
    <s v="Female"/>
    <n v="25.8"/>
    <n v="0"/>
    <s v="Non-Smoker"/>
    <x v="45"/>
    <n v="118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n v="35"/>
    <x v="0"/>
    <n v="29.5"/>
    <n v="0"/>
    <x v="0"/>
    <s v="New York"/>
    <x v="0"/>
    <s v="30-45"/>
    <s v="Overweight"/>
  </r>
  <r>
    <x v="1"/>
    <n v="42"/>
    <x v="1"/>
    <n v="26.8"/>
    <n v="2"/>
    <x v="0"/>
    <s v="Los Angeles"/>
    <x v="1"/>
    <s v="30-45"/>
    <s v="Overweight"/>
  </r>
  <r>
    <x v="2"/>
    <n v="50"/>
    <x v="0"/>
    <n v="31.2"/>
    <n v="3"/>
    <x v="1"/>
    <s v="Chicago"/>
    <x v="2"/>
    <s v="Above 45"/>
    <s v="Obese"/>
  </r>
  <r>
    <x v="3"/>
    <n v="28"/>
    <x v="1"/>
    <n v="22.3"/>
    <n v="1"/>
    <x v="0"/>
    <s v="Houston"/>
    <x v="3"/>
    <s v="Under30"/>
    <s v="Normal"/>
  </r>
  <r>
    <x v="4"/>
    <n v="39"/>
    <x v="0"/>
    <n v="28.1"/>
    <n v="2"/>
    <x v="0"/>
    <s v="Phoenix"/>
    <x v="4"/>
    <s v="30-45"/>
    <s v="Overweight"/>
  </r>
  <r>
    <x v="5"/>
    <n v="45"/>
    <x v="1"/>
    <n v="29.9"/>
    <n v="0"/>
    <x v="0"/>
    <s v="Philadelphia"/>
    <x v="5"/>
    <s v="30-45"/>
    <s v="Overweight"/>
  </r>
  <r>
    <x v="6"/>
    <n v="33"/>
    <x v="0"/>
    <n v="25.5"/>
    <n v="1"/>
    <x v="0"/>
    <s v="San Antonio"/>
    <x v="6"/>
    <s v="30-45"/>
    <s v="Overweight"/>
  </r>
  <r>
    <x v="7"/>
    <n v="37"/>
    <x v="1"/>
    <n v="27.4"/>
    <n v="2"/>
    <x v="1"/>
    <s v="San Diego"/>
    <x v="7"/>
    <s v="30-45"/>
    <s v="Overweight"/>
  </r>
  <r>
    <x v="8"/>
    <n v="47"/>
    <x v="0"/>
    <n v="33"/>
    <n v="3"/>
    <x v="0"/>
    <s v="Dallas"/>
    <x v="8"/>
    <s v="Above 45"/>
    <s v="Obese"/>
  </r>
  <r>
    <x v="9"/>
    <n v="31"/>
    <x v="1"/>
    <n v="24.7"/>
    <n v="0"/>
    <x v="0"/>
    <s v="San Jose"/>
    <x v="9"/>
    <s v="30-45"/>
    <s v="Normal"/>
  </r>
  <r>
    <x v="10"/>
    <n v="40"/>
    <x v="0"/>
    <n v="30.5"/>
    <n v="2"/>
    <x v="0"/>
    <s v="Austin"/>
    <x v="10"/>
    <s v="30-45"/>
    <s v="Obese"/>
  </r>
  <r>
    <x v="11"/>
    <n v="29"/>
    <x v="1"/>
    <n v="23.9"/>
    <n v="1"/>
    <x v="0"/>
    <s v="Jacksonville"/>
    <x v="11"/>
    <s v="Under30"/>
    <s v="Normal"/>
  </r>
  <r>
    <x v="12"/>
    <n v="48"/>
    <x v="0"/>
    <n v="32.700000000000003"/>
    <n v="3"/>
    <x v="1"/>
    <s v="San Francisco"/>
    <x v="12"/>
    <s v="Above 45"/>
    <s v="Obese"/>
  </r>
  <r>
    <x v="13"/>
    <n v="36"/>
    <x v="1"/>
    <n v="28.3"/>
    <n v="0"/>
    <x v="0"/>
    <s v="Indianapolis"/>
    <x v="13"/>
    <s v="30-45"/>
    <s v="Overweight"/>
  </r>
  <r>
    <x v="14"/>
    <n v="43"/>
    <x v="0"/>
    <n v="29.8"/>
    <n v="2"/>
    <x v="0"/>
    <s v="Columbus"/>
    <x v="14"/>
    <s v="30-45"/>
    <s v="Overweight"/>
  </r>
  <r>
    <x v="15"/>
    <n v="32"/>
    <x v="1"/>
    <n v="25.1"/>
    <n v="1"/>
    <x v="0"/>
    <s v="Fort Worth"/>
    <x v="15"/>
    <s v="30-45"/>
    <s v="Overweight"/>
  </r>
  <r>
    <x v="16"/>
    <n v="39"/>
    <x v="0"/>
    <n v="27.9"/>
    <n v="3"/>
    <x v="1"/>
    <s v="Charlotte"/>
    <x v="16"/>
    <s v="30-45"/>
    <s v="Overweight"/>
  </r>
  <r>
    <x v="17"/>
    <n v="41"/>
    <x v="1"/>
    <n v="31.5"/>
    <n v="0"/>
    <x v="0"/>
    <s v="Seattle"/>
    <x v="17"/>
    <s v="30-45"/>
    <s v="Obese"/>
  </r>
  <r>
    <x v="18"/>
    <n v="46"/>
    <x v="0"/>
    <n v="34.200000000000003"/>
    <n v="2"/>
    <x v="0"/>
    <s v="Denver"/>
    <x v="18"/>
    <s v="Above 45"/>
    <s v="Obese"/>
  </r>
  <r>
    <x v="19"/>
    <n v="30"/>
    <x v="1"/>
    <n v="26"/>
    <n v="1"/>
    <x v="0"/>
    <s v="Detroit"/>
    <x v="19"/>
    <s v="30-45"/>
    <s v="Overweight"/>
  </r>
  <r>
    <x v="20"/>
    <n v="44"/>
    <x v="0"/>
    <n v="29.6"/>
    <n v="3"/>
    <x v="1"/>
    <s v="Washington"/>
    <x v="20"/>
    <s v="30-45"/>
    <s v="Overweight"/>
  </r>
  <r>
    <x v="21"/>
    <n v="35"/>
    <x v="1"/>
    <n v="28.8"/>
    <n v="0"/>
    <x v="0"/>
    <s v="Boston"/>
    <x v="19"/>
    <s v="30-45"/>
    <s v="Overweight"/>
  </r>
  <r>
    <x v="22"/>
    <n v="49"/>
    <x v="0"/>
    <n v="33.799999999999997"/>
    <n v="2"/>
    <x v="0"/>
    <s v="Nashville"/>
    <x v="21"/>
    <s v="Above 45"/>
    <s v="Obese"/>
  </r>
  <r>
    <x v="23"/>
    <n v="34"/>
    <x v="1"/>
    <n v="25.9"/>
    <n v="1"/>
    <x v="0"/>
    <s v="Memphis"/>
    <x v="22"/>
    <s v="30-45"/>
    <s v="Overweight"/>
  </r>
  <r>
    <x v="24"/>
    <n v="38"/>
    <x v="0"/>
    <n v="26.3"/>
    <n v="2"/>
    <x v="1"/>
    <s v="Portland"/>
    <x v="23"/>
    <s v="30-45"/>
    <s v="Overweight"/>
  </r>
  <r>
    <x v="25"/>
    <n v="27"/>
    <x v="1"/>
    <n v="24.5"/>
    <n v="0"/>
    <x v="0"/>
    <s v="Oklahoma City"/>
    <x v="24"/>
    <s v="Under30"/>
    <s v="Normal"/>
  </r>
  <r>
    <x v="26"/>
    <n v="52"/>
    <x v="0"/>
    <n v="35.1"/>
    <n v="3"/>
    <x v="1"/>
    <s v="Las Vegas"/>
    <x v="25"/>
    <s v="Above 45"/>
    <s v="Obese"/>
  </r>
  <r>
    <x v="27"/>
    <n v="33"/>
    <x v="1"/>
    <n v="27.6"/>
    <n v="1"/>
    <x v="0"/>
    <s v="Louisville"/>
    <x v="26"/>
    <s v="30-45"/>
    <s v="Overweight"/>
  </r>
  <r>
    <x v="28"/>
    <n v="50"/>
    <x v="0"/>
    <n v="31.8"/>
    <n v="2"/>
    <x v="0"/>
    <s v="Baltimore"/>
    <x v="27"/>
    <s v="Above 45"/>
    <s v="Obese"/>
  </r>
  <r>
    <x v="29"/>
    <n v="39"/>
    <x v="1"/>
    <n v="29.2"/>
    <n v="0"/>
    <x v="0"/>
    <s v="Milwaukee"/>
    <x v="28"/>
    <s v="30-45"/>
    <s v="Overweight"/>
  </r>
  <r>
    <x v="30"/>
    <n v="47"/>
    <x v="0"/>
    <n v="32.5"/>
    <n v="3"/>
    <x v="1"/>
    <s v="Albuquerque"/>
    <x v="29"/>
    <s v="Above 45"/>
    <s v="Obese"/>
  </r>
  <r>
    <x v="31"/>
    <n v="31"/>
    <x v="1"/>
    <n v="26.5"/>
    <n v="1"/>
    <x v="0"/>
    <s v="Tucson"/>
    <x v="30"/>
    <s v="30-45"/>
    <s v="Overweight"/>
  </r>
  <r>
    <x v="32"/>
    <n v="45"/>
    <x v="0"/>
    <n v="30.3"/>
    <n v="2"/>
    <x v="0"/>
    <s v="Fresno"/>
    <x v="31"/>
    <s v="30-45"/>
    <s v="Obese"/>
  </r>
  <r>
    <x v="33"/>
    <n v="37"/>
    <x v="1"/>
    <n v="28"/>
    <n v="0"/>
    <x v="0"/>
    <s v="Sacramento"/>
    <x v="32"/>
    <s v="30-45"/>
    <s v="Overweight"/>
  </r>
  <r>
    <x v="34"/>
    <n v="48"/>
    <x v="0"/>
    <n v="33.5"/>
    <n v="3"/>
    <x v="1"/>
    <s v="Mesa"/>
    <x v="33"/>
    <s v="Above 45"/>
    <s v="Obese"/>
  </r>
  <r>
    <x v="35"/>
    <n v="29"/>
    <x v="1"/>
    <n v="25.3"/>
    <n v="1"/>
    <x v="0"/>
    <s v="Atlanta"/>
    <x v="34"/>
    <s v="Under30"/>
    <s v="Overweight"/>
  </r>
  <r>
    <x v="36"/>
    <n v="51"/>
    <x v="0"/>
    <n v="34.700000000000003"/>
    <n v="2"/>
    <x v="0"/>
    <s v="Kansas City"/>
    <x v="35"/>
    <s v="Above 45"/>
    <s v="Obese"/>
  </r>
  <r>
    <x v="37"/>
    <n v="32"/>
    <x v="1"/>
    <n v="27.2"/>
    <n v="0"/>
    <x v="0"/>
    <s v="Miami"/>
    <x v="36"/>
    <s v="30-45"/>
    <s v="Overweight"/>
  </r>
  <r>
    <x v="38"/>
    <n v="46"/>
    <x v="0"/>
    <n v="31"/>
    <n v="3"/>
    <x v="1"/>
    <s v="Long Beach"/>
    <x v="37"/>
    <s v="Above 45"/>
    <s v="Obese"/>
  </r>
  <r>
    <x v="39"/>
    <n v="36"/>
    <x v="1"/>
    <n v="29.1"/>
    <n v="1"/>
    <x v="0"/>
    <s v="Virginia Beach"/>
    <x v="38"/>
    <s v="30-45"/>
    <s v="Overweight"/>
  </r>
  <r>
    <x v="40"/>
    <n v="49"/>
    <x v="0"/>
    <n v="32.799999999999997"/>
    <n v="2"/>
    <x v="0"/>
    <s v="Oakland"/>
    <x v="39"/>
    <s v="Above 45"/>
    <s v="Obese"/>
  </r>
  <r>
    <x v="41"/>
    <n v="38"/>
    <x v="1"/>
    <n v="27.8"/>
    <n v="0"/>
    <x v="0"/>
    <s v="Tulsa"/>
    <x v="40"/>
    <s v="30-45"/>
    <s v="Overweight"/>
  </r>
  <r>
    <x v="42"/>
    <n v="53"/>
    <x v="0"/>
    <n v="35.299999999999997"/>
    <n v="3"/>
    <x v="1"/>
    <s v="Tampa"/>
    <x v="41"/>
    <s v="Above 45"/>
    <s v="Obese"/>
  </r>
  <r>
    <x v="43"/>
    <n v="34"/>
    <x v="1"/>
    <n v="26.4"/>
    <n v="1"/>
    <x v="0"/>
    <s v="Arlington"/>
    <x v="42"/>
    <s v="30-45"/>
    <s v="Overweight"/>
  </r>
  <r>
    <x v="44"/>
    <n v="48"/>
    <x v="0"/>
    <n v="31.7"/>
    <n v="2"/>
    <x v="0"/>
    <s v="Wichita"/>
    <x v="43"/>
    <s v="Above 45"/>
    <s v="Obese"/>
  </r>
  <r>
    <x v="45"/>
    <n v="30"/>
    <x v="1"/>
    <n v="25.8"/>
    <n v="0"/>
    <x v="0"/>
    <s v="New Orleans"/>
    <x v="44"/>
    <s v="30-45"/>
    <s v="Overwe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44662-1C1E-4140-9674-450EDF26E1F3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11:D118" firstHeaderRow="1" firstDataRow="1" firstDataCol="1"/>
  <pivotFields count="10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46">
        <item x="22"/>
        <item x="34"/>
        <item x="3"/>
        <item x="15"/>
        <item x="11"/>
        <item x="9"/>
        <item x="6"/>
        <item x="44"/>
        <item x="38"/>
        <item x="19"/>
        <item x="24"/>
        <item x="26"/>
        <item x="40"/>
        <item x="32"/>
        <item x="36"/>
        <item x="42"/>
        <item x="13"/>
        <item x="30"/>
        <item x="7"/>
        <item x="0"/>
        <item x="18"/>
        <item x="14"/>
        <item x="4"/>
        <item x="5"/>
        <item x="12"/>
        <item x="10"/>
        <item x="28"/>
        <item x="17"/>
        <item x="8"/>
        <item x="16"/>
        <item x="43"/>
        <item x="2"/>
        <item x="1"/>
        <item x="27"/>
        <item x="35"/>
        <item x="29"/>
        <item x="25"/>
        <item x="37"/>
        <item x="31"/>
        <item x="21"/>
        <item x="39"/>
        <item x="20"/>
        <item x="33"/>
        <item x="23"/>
        <item x="41"/>
        <item t="default"/>
      </items>
    </pivotField>
    <pivotField showAll="0"/>
    <pivotField showAll="0"/>
  </pivotFields>
  <rowFields count="2">
    <field x="2"/>
    <field x="5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Average of Insurance Price (USD)" fld="7" subtotal="average" baseField="2" baseItem="0" numFmtId="2"/>
  </dataFields>
  <formats count="4">
    <format dxfId="32">
      <pivotArea collapsedLevelsAreSubtotals="1" fieldPosition="0">
        <references count="2">
          <reference field="2" count="1" selected="0">
            <x v="0"/>
          </reference>
          <reference field="5" count="1">
            <x v="0"/>
          </reference>
        </references>
      </pivotArea>
    </format>
    <format dxfId="31">
      <pivotArea collapsedLevelsAreSubtotals="1" fieldPosition="0">
        <references count="1">
          <reference field="2" count="1">
            <x v="0"/>
          </reference>
        </references>
      </pivotArea>
    </format>
    <format dxfId="30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9B617-0170-41C2-9FCD-06C30FBFA03A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98:D104" firstHeaderRow="1" firstDataRow="1" firstDataCol="1"/>
  <pivotFields count="10">
    <pivotField axis="axisRow" showAll="0" measureFilter="1" sortType="descending">
      <items count="47">
        <item x="25"/>
        <item x="32"/>
        <item x="22"/>
        <item x="17"/>
        <item x="21"/>
        <item x="37"/>
        <item x="28"/>
        <item x="23"/>
        <item x="10"/>
        <item x="6"/>
        <item x="16"/>
        <item x="4"/>
        <item x="14"/>
        <item x="40"/>
        <item x="39"/>
        <item x="1"/>
        <item x="9"/>
        <item x="20"/>
        <item x="29"/>
        <item x="27"/>
        <item x="38"/>
        <item x="15"/>
        <item x="42"/>
        <item x="34"/>
        <item x="12"/>
        <item x="5"/>
        <item x="7"/>
        <item x="0"/>
        <item x="35"/>
        <item x="43"/>
        <item x="36"/>
        <item x="44"/>
        <item x="30"/>
        <item x="8"/>
        <item x="19"/>
        <item x="2"/>
        <item x="18"/>
        <item x="33"/>
        <item x="11"/>
        <item x="26"/>
        <item x="3"/>
        <item x="41"/>
        <item x="45"/>
        <item x="13"/>
        <item x="24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 includeNewItemsInFilter="1">
      <items count="46">
        <item x="22"/>
        <item x="34"/>
        <item x="3"/>
        <item x="15"/>
        <item x="11"/>
        <item x="9"/>
        <item x="6"/>
        <item x="44"/>
        <item x="38"/>
        <item x="19"/>
        <item x="24"/>
        <item x="26"/>
        <item x="40"/>
        <item x="32"/>
        <item x="36"/>
        <item x="42"/>
        <item x="13"/>
        <item x="30"/>
        <item x="7"/>
        <item x="0"/>
        <item x="18"/>
        <item x="14"/>
        <item x="4"/>
        <item x="5"/>
        <item x="12"/>
        <item x="10"/>
        <item x="28"/>
        <item x="17"/>
        <item x="8"/>
        <item x="16"/>
        <item x="43"/>
        <item x="2"/>
        <item x="1"/>
        <item x="27"/>
        <item x="35"/>
        <item x="29"/>
        <item x="25"/>
        <item x="37"/>
        <item x="31"/>
        <item x="21"/>
        <item x="39"/>
        <item x="20"/>
        <item x="33"/>
        <item x="23"/>
        <item x="41"/>
        <item t="default"/>
      </items>
    </pivotField>
    <pivotField showAll="0"/>
    <pivotField showAll="0"/>
  </pivotFields>
  <rowFields count="1">
    <field x="0"/>
  </rowFields>
  <rowItems count="6">
    <i>
      <x v="22"/>
    </i>
    <i>
      <x v="44"/>
    </i>
    <i>
      <x v="23"/>
    </i>
    <i>
      <x v="17"/>
    </i>
    <i>
      <x v="13"/>
    </i>
    <i t="grand">
      <x/>
    </i>
  </rowItems>
  <colItems count="1">
    <i/>
  </colItems>
  <dataFields count="1">
    <dataField name="Sum of Insurance Price (USD)" fld="7" baseField="0" baseItem="0"/>
  </dataFields>
  <conditionalFormats count="2">
    <conditionalFormat scope="field" type="all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  <conditionalFormat scope="field" type="all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0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7415F-09FA-4E92-9A14-66A4635FF097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8:D85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47">
        <item x="30"/>
        <item x="43"/>
        <item x="35"/>
        <item x="10"/>
        <item x="28"/>
        <item x="21"/>
        <item x="16"/>
        <item x="2"/>
        <item x="14"/>
        <item x="8"/>
        <item x="18"/>
        <item x="19"/>
        <item x="15"/>
        <item x="32"/>
        <item x="3"/>
        <item x="13"/>
        <item x="11"/>
        <item x="36"/>
        <item x="26"/>
        <item x="38"/>
        <item x="1"/>
        <item x="27"/>
        <item x="23"/>
        <item x="34"/>
        <item x="37"/>
        <item x="29"/>
        <item x="22"/>
        <item x="45"/>
        <item x="0"/>
        <item x="40"/>
        <item x="25"/>
        <item x="5"/>
        <item x="4"/>
        <item x="24"/>
        <item x="33"/>
        <item x="6"/>
        <item x="7"/>
        <item x="12"/>
        <item x="9"/>
        <item x="17"/>
        <item x="42"/>
        <item x="31"/>
        <item x="41"/>
        <item x="39"/>
        <item x="20"/>
        <item x="44"/>
        <item t="default"/>
      </items>
    </pivotField>
    <pivotField dataField="1" showAll="0"/>
  </pivotFields>
  <rowFields count="1">
    <field x="6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Average of Insurance Price (USD)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EDC78-D373-4BD9-B703-EF371FA65E2D}" name="Table1" displayName="Table1" ref="C9:D10" totalsRowShown="0" headerRowDxfId="28" dataDxfId="27" tableBorderDxfId="26">
  <tableColumns count="2">
    <tableColumn id="1" xr3:uid="{2D6FEC79-AC83-4A89-B4EF-1F37B25FB207}" name="Min" dataDxfId="25">
      <calculatedColumnFormula>MIN('Healthcare Insurance'!H2:H47)</calculatedColumnFormula>
    </tableColumn>
    <tableColumn id="2" xr3:uid="{6578591B-EB2F-4D58-9879-69B410F1121B}" name="Max" dataDxfId="24">
      <calculatedColumnFormula>MAX('Healthcare Insurance'!H2:H47)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8A710F-F43D-46C1-846B-62CE67CF3F94}" name="Table2" displayName="Table2" ref="C13:D14" totalsRowShown="0" tableBorderDxfId="23">
  <tableColumns count="2">
    <tableColumn id="1" xr3:uid="{B8893C21-0E3F-4814-BF14-3B2B0B30B596}" name="Male">
      <calculatedColumnFormula>COUNTIF('Healthcare Insurance'!C2:C47,"Male")</calculatedColumnFormula>
    </tableColumn>
    <tableColumn id="2" xr3:uid="{660E178E-9638-495D-A2D1-729164CEACF2}" name="Female">
      <calculatedColumnFormula>COUNTIF('Healthcare Insurance'!C2:C47,"Female")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D82304-0E9C-42E5-A33E-B127C5FCC18B}" name="Table3" displayName="Table3" ref="C23:D24" totalsRowShown="0" headerRowDxfId="22" dataDxfId="21" tableBorderDxfId="20">
  <tableColumns count="2">
    <tableColumn id="1" xr3:uid="{FCBBBC62-F2E5-4783-9252-B539F4411079}" name="Smokers" dataDxfId="19">
      <calculatedColumnFormula>COUNTIF('Healthcare Insurance'!F2:F47,"Smoker")</calculatedColumnFormula>
    </tableColumn>
    <tableColumn id="2" xr3:uid="{BCF1C858-FAC4-4D7B-ADD0-D74F3CC443B9}" name="Non-Smokers" dataDxfId="18">
      <calculatedColumnFormula>COUNTIF('Healthcare Insurance'!F2:F47,"Non-Smoker")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1D950C-6D19-4490-8C92-128650FFE50F}" name="Table4" displayName="Table4" ref="C30:D31" totalsRowShown="0" headerRowDxfId="17" dataDxfId="16">
  <autoFilter ref="C30:D31" xr:uid="{4802FF96-46EA-4B59-90C2-B4B43D8E1B1B}"/>
  <tableColumns count="2">
    <tableColumn id="1" xr3:uid="{CA1C0E97-AC01-4647-B49A-1F416C47495D}" name="Male" dataDxfId="15">
      <calculatedColumnFormula>AVERAGEIF('Healthcare Insurance'!C2:C47,"Male",'Healthcare Insurance'!H2:H47)</calculatedColumnFormula>
    </tableColumn>
    <tableColumn id="2" xr3:uid="{5F707371-ECD0-4CD1-AFB3-8421C25F7D94}" name="Female" dataDxfId="14">
      <calculatedColumnFormula>AVERAGEIF('Healthcare Insurance'!C2:C47,"Female",'Healthcare Insurance'!H2:H47)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0E290C-A4C7-4384-9569-BC5889607BCD}" name="Table36" displayName="Table36" ref="C34:D35" totalsRowShown="0" headerRowDxfId="13" dataDxfId="12" tableBorderDxfId="11">
  <tableColumns count="2">
    <tableColumn id="1" xr3:uid="{699189DA-AE62-4174-82E6-669860AC96A4}" name="Smokers" dataDxfId="10">
      <calculatedColumnFormula>AVERAGEIF('Healthcare Insurance'!F2:F47,"Smoker",'Healthcare Insurance'!H2:H47)</calculatedColumnFormula>
    </tableColumn>
    <tableColumn id="2" xr3:uid="{6630D4B6-AA40-4130-BF26-9E0F41FDFEE2}" name="Non-Smokers" dataDxfId="9">
      <calculatedColumnFormula>AVERAGEIF('Healthcare Insurance'!F2:F47,"Non-Smoker",'Healthcare Insurance'!H2:H47)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614617-868F-48EA-85A5-FA8DBDFCC26A}" name="Table6" displayName="Table6" ref="B88:D89" totalsRowShown="0" headerRowDxfId="8" dataDxfId="7">
  <tableColumns count="3">
    <tableColumn id="1" xr3:uid="{B127854F-F99A-47C7-AFC5-4D0AA6B715AC}" name="Under 30" dataDxfId="6">
      <calculatedColumnFormula>AVERAGEIF('Healthcare Insurance'!$I2:$I47,"Under30",'Healthcare Insurance'!$H2:$H47)</calculatedColumnFormula>
    </tableColumn>
    <tableColumn id="2" xr3:uid="{33820C2E-A9A7-49C7-A9C5-AC42136C1499}" name="30-45" dataDxfId="5">
      <calculatedColumnFormula>AVERAGEIF('Healthcare Insurance'!$I2:$I47,"30-45",'Healthcare Insurance'!$H2:$H47)</calculatedColumnFormula>
    </tableColumn>
    <tableColumn id="3" xr3:uid="{9FC4700D-38E4-4300-982C-5C613232290A}" name="Above 45" dataDxfId="4">
      <calculatedColumnFormula>AVERAGEIF('Healthcare Insurance'!$I2:$I47,"Above 45",'Healthcare Insurance'!$H2:$H47)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C4C0C8-F858-4E7F-B0C9-8752F1A7530E}" name="Table7" displayName="Table7" ref="C121:E122" totalsRowShown="0" headerRowDxfId="3">
  <tableColumns count="3">
    <tableColumn id="1" xr3:uid="{C8493355-3806-4FAF-9C96-8980D37B566F}" name="Age" dataDxfId="2">
      <calculatedColumnFormula>CORREL('Healthcare Insurance'!B3:B48,'Healthcare Insurance'!H3:H48)</calculatedColumnFormula>
    </tableColumn>
    <tableColumn id="2" xr3:uid="{0BAB7C2E-760D-4ADD-9BEB-570781E2CD5C}" name="BMI" dataDxfId="1">
      <calculatedColumnFormula>CORREL('Healthcare Insurance'!D2:D47,'Healthcare Insurance'!H2:H47)</calculatedColumnFormula>
    </tableColumn>
    <tableColumn id="3" xr3:uid="{8F4AECAF-0207-4B11-A1E0-BEA0FD0A26E7}" name="Smoking 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printerSettings" Target="../printerSettings/printerSettings1.bin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F986-7C33-427F-9CFC-92D8CB50E219}">
  <dimension ref="A1:L47"/>
  <sheetViews>
    <sheetView topLeftCell="A4" workbookViewId="0">
      <selection activeCell="L4" sqref="L4"/>
    </sheetView>
  </sheetViews>
  <sheetFormatPr defaultRowHeight="15"/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123</v>
      </c>
      <c r="J1" s="17" t="s">
        <v>3</v>
      </c>
      <c r="K1" s="17" t="s">
        <v>134</v>
      </c>
      <c r="L1" s="17" t="s">
        <v>135</v>
      </c>
    </row>
    <row r="2" spans="1:12">
      <c r="A2" s="2" t="s">
        <v>8</v>
      </c>
      <c r="B2" s="2">
        <v>35</v>
      </c>
      <c r="C2" s="2" t="s">
        <v>9</v>
      </c>
      <c r="D2" s="2">
        <v>29.5</v>
      </c>
      <c r="E2" s="2">
        <v>0</v>
      </c>
      <c r="F2" s="2" t="s">
        <v>10</v>
      </c>
      <c r="G2" s="2" t="s">
        <v>11</v>
      </c>
      <c r="H2" s="2">
        <v>16450</v>
      </c>
      <c r="I2" t="str">
        <f>IF(B2&lt;30,"Under30",IF(B2&lt;=45,"30-45","Above 45"))</f>
        <v>30-45</v>
      </c>
      <c r="J2" t="str">
        <f>IF(D2&lt;18.5,"Under Weight",IF(D2&lt;25,"Normal",IF(D2&lt;30,"Overweight","Obese")))</f>
        <v>Overweight</v>
      </c>
      <c r="K2" t="str">
        <f>IF(H2&lt;16000,"Low",IF(H2&lt;25000,"Medium","High"))</f>
        <v>Medium</v>
      </c>
      <c r="L2" t="str">
        <f>IF(AND(B2&gt;40,D2&gt;30,F2="Smoker"),"High Risk","Normal")</f>
        <v>Normal</v>
      </c>
    </row>
    <row r="3" spans="1:12">
      <c r="A3" s="2" t="s">
        <v>12</v>
      </c>
      <c r="B3" s="2">
        <v>42</v>
      </c>
      <c r="C3" s="2" t="s">
        <v>13</v>
      </c>
      <c r="D3" s="2">
        <v>26.8</v>
      </c>
      <c r="E3" s="2">
        <v>2</v>
      </c>
      <c r="F3" s="2" t="s">
        <v>10</v>
      </c>
      <c r="G3" s="2" t="s">
        <v>14</v>
      </c>
      <c r="H3" s="2">
        <v>21600</v>
      </c>
      <c r="I3" t="str">
        <f t="shared" ref="I3:I47" si="0">IF(B3&lt;30,"Under30",IF(B3&lt;=45,"30-45","Above 45"))</f>
        <v>30-45</v>
      </c>
      <c r="J3" t="str">
        <f t="shared" ref="J3:J47" si="1">IF(D3&lt;18.5,"Under Weight",IF(D3&lt;25,"Normal",IF(D3&lt;30,"Overweight","Obese")))</f>
        <v>Overweight</v>
      </c>
      <c r="K3" t="str">
        <f t="shared" ref="K3:K47" si="2">IF(H3&lt;16000,"Low",IF(H3&lt;25000,"Medium","High"))</f>
        <v>Medium</v>
      </c>
      <c r="L3" t="str">
        <f t="shared" ref="L3:L47" si="3">IF(AND(B3&gt;40,D3&gt;30,F3="Smoker"),"High Risk","Normal")</f>
        <v>Normal</v>
      </c>
    </row>
    <row r="4" spans="1:12">
      <c r="A4" s="2" t="s">
        <v>15</v>
      </c>
      <c r="B4" s="2">
        <v>50</v>
      </c>
      <c r="C4" s="2" t="s">
        <v>9</v>
      </c>
      <c r="D4" s="2">
        <v>31.2</v>
      </c>
      <c r="E4" s="2">
        <v>3</v>
      </c>
      <c r="F4" s="2" t="s">
        <v>16</v>
      </c>
      <c r="G4" s="2" t="s">
        <v>17</v>
      </c>
      <c r="H4" s="2">
        <v>21080</v>
      </c>
      <c r="I4" t="str">
        <f t="shared" si="0"/>
        <v>Above 45</v>
      </c>
      <c r="J4" t="str">
        <f t="shared" si="1"/>
        <v>Obese</v>
      </c>
      <c r="K4" t="str">
        <f t="shared" si="2"/>
        <v>Medium</v>
      </c>
      <c r="L4" t="str">
        <f t="shared" si="3"/>
        <v>High Risk</v>
      </c>
    </row>
    <row r="5" spans="1:12">
      <c r="A5" s="2" t="s">
        <v>18</v>
      </c>
      <c r="B5" s="2">
        <v>28</v>
      </c>
      <c r="C5" s="2" t="s">
        <v>13</v>
      </c>
      <c r="D5" s="2">
        <v>22.3</v>
      </c>
      <c r="E5" s="2">
        <v>1</v>
      </c>
      <c r="F5" s="2" t="s">
        <v>10</v>
      </c>
      <c r="G5" s="2" t="s">
        <v>19</v>
      </c>
      <c r="H5" s="2">
        <v>10080</v>
      </c>
      <c r="I5" t="str">
        <f t="shared" si="0"/>
        <v>Under30</v>
      </c>
      <c r="J5" t="str">
        <f t="shared" si="1"/>
        <v>Normal</v>
      </c>
      <c r="K5" t="str">
        <f t="shared" si="2"/>
        <v>Low</v>
      </c>
      <c r="L5" t="str">
        <f t="shared" si="3"/>
        <v>Normal</v>
      </c>
    </row>
    <row r="6" spans="1:12">
      <c r="A6" s="2" t="s">
        <v>20</v>
      </c>
      <c r="B6" s="2">
        <v>39</v>
      </c>
      <c r="C6" s="2" t="s">
        <v>9</v>
      </c>
      <c r="D6" s="2">
        <v>28.1</v>
      </c>
      <c r="E6" s="2">
        <v>2</v>
      </c>
      <c r="F6" s="2" t="s">
        <v>10</v>
      </c>
      <c r="G6" s="2" t="s">
        <v>21</v>
      </c>
      <c r="H6" s="2">
        <v>17640</v>
      </c>
      <c r="I6" t="str">
        <f t="shared" si="0"/>
        <v>30-45</v>
      </c>
      <c r="J6" t="str">
        <f t="shared" si="1"/>
        <v>Overweight</v>
      </c>
      <c r="K6" t="str">
        <f t="shared" si="2"/>
        <v>Medium</v>
      </c>
      <c r="L6" t="str">
        <f t="shared" si="3"/>
        <v>Normal</v>
      </c>
    </row>
    <row r="7" spans="1:12">
      <c r="A7" s="2" t="s">
        <v>22</v>
      </c>
      <c r="B7" s="2">
        <v>45</v>
      </c>
      <c r="C7" s="2" t="s">
        <v>13</v>
      </c>
      <c r="D7" s="2">
        <v>29.9</v>
      </c>
      <c r="E7" s="2">
        <v>0</v>
      </c>
      <c r="F7" s="2" t="s">
        <v>10</v>
      </c>
      <c r="G7" s="2" t="s">
        <v>23</v>
      </c>
      <c r="H7" s="2">
        <v>18000</v>
      </c>
      <c r="I7" t="str">
        <f t="shared" si="0"/>
        <v>30-45</v>
      </c>
      <c r="J7" t="str">
        <f t="shared" si="1"/>
        <v>Overweight</v>
      </c>
      <c r="K7" t="str">
        <f t="shared" si="2"/>
        <v>Medium</v>
      </c>
      <c r="L7" t="str">
        <f t="shared" si="3"/>
        <v>Normal</v>
      </c>
    </row>
    <row r="8" spans="1:12">
      <c r="A8" s="2" t="s">
        <v>24</v>
      </c>
      <c r="B8" s="2">
        <v>33</v>
      </c>
      <c r="C8" s="2" t="s">
        <v>9</v>
      </c>
      <c r="D8" s="2">
        <v>25.5</v>
      </c>
      <c r="E8" s="2">
        <v>1</v>
      </c>
      <c r="F8" s="2" t="s">
        <v>10</v>
      </c>
      <c r="G8" s="2" t="s">
        <v>25</v>
      </c>
      <c r="H8" s="2">
        <v>11520</v>
      </c>
      <c r="I8" t="str">
        <f t="shared" si="0"/>
        <v>30-45</v>
      </c>
      <c r="J8" t="str">
        <f t="shared" si="1"/>
        <v>Overweight</v>
      </c>
      <c r="K8" t="str">
        <f t="shared" si="2"/>
        <v>Low</v>
      </c>
      <c r="L8" t="str">
        <f t="shared" si="3"/>
        <v>Normal</v>
      </c>
    </row>
    <row r="9" spans="1:12">
      <c r="A9" s="2" t="s">
        <v>26</v>
      </c>
      <c r="B9" s="2">
        <v>37</v>
      </c>
      <c r="C9" s="2" t="s">
        <v>13</v>
      </c>
      <c r="D9" s="2">
        <v>27.4</v>
      </c>
      <c r="E9" s="2">
        <v>2</v>
      </c>
      <c r="F9" s="2" t="s">
        <v>16</v>
      </c>
      <c r="G9" s="2" t="s">
        <v>27</v>
      </c>
      <c r="H9" s="2">
        <v>16120</v>
      </c>
      <c r="I9" t="str">
        <f t="shared" si="0"/>
        <v>30-45</v>
      </c>
      <c r="J9" t="str">
        <f t="shared" si="1"/>
        <v>Overweight</v>
      </c>
      <c r="K9" t="str">
        <f t="shared" si="2"/>
        <v>Medium</v>
      </c>
      <c r="L9" t="str">
        <f t="shared" si="3"/>
        <v>Normal</v>
      </c>
    </row>
    <row r="10" spans="1:12">
      <c r="A10" s="2" t="s">
        <v>28</v>
      </c>
      <c r="B10" s="2">
        <v>47</v>
      </c>
      <c r="C10" s="2" t="s">
        <v>9</v>
      </c>
      <c r="D10" s="2">
        <v>33</v>
      </c>
      <c r="E10" s="2">
        <v>3</v>
      </c>
      <c r="F10" s="2" t="s">
        <v>10</v>
      </c>
      <c r="G10" s="2" t="s">
        <v>29</v>
      </c>
      <c r="H10" s="2">
        <v>19720</v>
      </c>
      <c r="I10" t="str">
        <f t="shared" si="0"/>
        <v>Above 45</v>
      </c>
      <c r="J10" t="str">
        <f t="shared" si="1"/>
        <v>Obese</v>
      </c>
      <c r="K10" t="str">
        <f t="shared" si="2"/>
        <v>Medium</v>
      </c>
      <c r="L10" t="str">
        <f t="shared" si="3"/>
        <v>Normal</v>
      </c>
    </row>
    <row r="11" spans="1:12">
      <c r="A11" s="2" t="s">
        <v>30</v>
      </c>
      <c r="B11" s="2">
        <v>31</v>
      </c>
      <c r="C11" s="2" t="s">
        <v>13</v>
      </c>
      <c r="D11" s="2">
        <v>24.7</v>
      </c>
      <c r="E11" s="2">
        <v>0</v>
      </c>
      <c r="F11" s="2" t="s">
        <v>10</v>
      </c>
      <c r="G11" s="2" t="s">
        <v>31</v>
      </c>
      <c r="H11" s="2">
        <v>11100</v>
      </c>
      <c r="I11" t="str">
        <f t="shared" si="0"/>
        <v>30-45</v>
      </c>
      <c r="J11" t="str">
        <f t="shared" si="1"/>
        <v>Normal</v>
      </c>
      <c r="K11" t="str">
        <f t="shared" si="2"/>
        <v>Low</v>
      </c>
      <c r="L11" t="str">
        <f t="shared" si="3"/>
        <v>Normal</v>
      </c>
    </row>
    <row r="12" spans="1:12">
      <c r="A12" s="2" t="s">
        <v>32</v>
      </c>
      <c r="B12" s="2">
        <v>40</v>
      </c>
      <c r="C12" s="2" t="s">
        <v>9</v>
      </c>
      <c r="D12" s="2">
        <v>30.5</v>
      </c>
      <c r="E12" s="2">
        <v>2</v>
      </c>
      <c r="F12" s="2" t="s">
        <v>10</v>
      </c>
      <c r="G12" s="2" t="s">
        <v>33</v>
      </c>
      <c r="H12" s="2">
        <v>18920</v>
      </c>
      <c r="I12" t="str">
        <f t="shared" si="0"/>
        <v>30-45</v>
      </c>
      <c r="J12" t="str">
        <f t="shared" si="1"/>
        <v>Obese</v>
      </c>
      <c r="K12" t="str">
        <f t="shared" si="2"/>
        <v>Medium</v>
      </c>
      <c r="L12" t="str">
        <f t="shared" si="3"/>
        <v>Normal</v>
      </c>
    </row>
    <row r="13" spans="1:12">
      <c r="A13" s="2" t="s">
        <v>34</v>
      </c>
      <c r="B13" s="2">
        <v>29</v>
      </c>
      <c r="C13" s="2" t="s">
        <v>13</v>
      </c>
      <c r="D13" s="2">
        <v>23.9</v>
      </c>
      <c r="E13" s="2">
        <v>1</v>
      </c>
      <c r="F13" s="2" t="s">
        <v>10</v>
      </c>
      <c r="G13" s="2" t="s">
        <v>35</v>
      </c>
      <c r="H13" s="2">
        <v>11020</v>
      </c>
      <c r="I13" t="str">
        <f t="shared" si="0"/>
        <v>Under30</v>
      </c>
      <c r="J13" t="str">
        <f t="shared" si="1"/>
        <v>Normal</v>
      </c>
      <c r="K13" t="str">
        <f t="shared" si="2"/>
        <v>Low</v>
      </c>
      <c r="L13" t="str">
        <f t="shared" si="3"/>
        <v>Normal</v>
      </c>
    </row>
    <row r="14" spans="1:12">
      <c r="A14" s="2" t="s">
        <v>36</v>
      </c>
      <c r="B14" s="2">
        <v>48</v>
      </c>
      <c r="C14" s="2" t="s">
        <v>9</v>
      </c>
      <c r="D14" s="2">
        <v>32.700000000000003</v>
      </c>
      <c r="E14" s="2">
        <v>3</v>
      </c>
      <c r="F14" s="2" t="s">
        <v>16</v>
      </c>
      <c r="G14" s="2" t="s">
        <v>37</v>
      </c>
      <c r="H14" s="2">
        <v>18600</v>
      </c>
      <c r="I14" t="str">
        <f t="shared" si="0"/>
        <v>Above 45</v>
      </c>
      <c r="J14" t="str">
        <f t="shared" si="1"/>
        <v>Obese</v>
      </c>
      <c r="K14" t="str">
        <f t="shared" si="2"/>
        <v>Medium</v>
      </c>
      <c r="L14" t="str">
        <f t="shared" si="3"/>
        <v>High Risk</v>
      </c>
    </row>
    <row r="15" spans="1:12">
      <c r="A15" s="2" t="s">
        <v>38</v>
      </c>
      <c r="B15" s="2">
        <v>36</v>
      </c>
      <c r="C15" s="2" t="s">
        <v>13</v>
      </c>
      <c r="D15" s="2">
        <v>28.3</v>
      </c>
      <c r="E15" s="2">
        <v>0</v>
      </c>
      <c r="F15" s="2" t="s">
        <v>10</v>
      </c>
      <c r="G15" s="2" t="s">
        <v>39</v>
      </c>
      <c r="H15" s="2">
        <v>15960</v>
      </c>
      <c r="I15" t="str">
        <f t="shared" si="0"/>
        <v>30-45</v>
      </c>
      <c r="J15" t="str">
        <f t="shared" si="1"/>
        <v>Overweight</v>
      </c>
      <c r="K15" t="str">
        <f t="shared" si="2"/>
        <v>Low</v>
      </c>
      <c r="L15" t="str">
        <f t="shared" si="3"/>
        <v>Normal</v>
      </c>
    </row>
    <row r="16" spans="1:12">
      <c r="A16" s="2" t="s">
        <v>40</v>
      </c>
      <c r="B16" s="2">
        <v>43</v>
      </c>
      <c r="C16" s="2" t="s">
        <v>9</v>
      </c>
      <c r="D16" s="2">
        <v>29.8</v>
      </c>
      <c r="E16" s="2">
        <v>2</v>
      </c>
      <c r="F16" s="2" t="s">
        <v>10</v>
      </c>
      <c r="G16" s="2" t="s">
        <v>41</v>
      </c>
      <c r="H16" s="2">
        <v>17550</v>
      </c>
      <c r="I16" t="str">
        <f t="shared" si="0"/>
        <v>30-45</v>
      </c>
      <c r="J16" t="str">
        <f t="shared" si="1"/>
        <v>Overweight</v>
      </c>
      <c r="K16" t="str">
        <f t="shared" si="2"/>
        <v>Medium</v>
      </c>
      <c r="L16" t="str">
        <f t="shared" si="3"/>
        <v>Normal</v>
      </c>
    </row>
    <row r="17" spans="1:12">
      <c r="A17" s="2" t="s">
        <v>42</v>
      </c>
      <c r="B17" s="2">
        <v>32</v>
      </c>
      <c r="C17" s="2" t="s">
        <v>13</v>
      </c>
      <c r="D17" s="2">
        <v>25.1</v>
      </c>
      <c r="E17" s="2">
        <v>1</v>
      </c>
      <c r="F17" s="2" t="s">
        <v>10</v>
      </c>
      <c r="G17" s="2" t="s">
        <v>43</v>
      </c>
      <c r="H17" s="2">
        <v>10540</v>
      </c>
      <c r="I17" t="str">
        <f t="shared" si="0"/>
        <v>30-45</v>
      </c>
      <c r="J17" t="str">
        <f t="shared" si="1"/>
        <v>Overweight</v>
      </c>
      <c r="K17" t="str">
        <f t="shared" si="2"/>
        <v>Low</v>
      </c>
      <c r="L17" t="str">
        <f t="shared" si="3"/>
        <v>Normal</v>
      </c>
    </row>
    <row r="18" spans="1:12">
      <c r="A18" s="2" t="s">
        <v>44</v>
      </c>
      <c r="B18" s="2">
        <v>39</v>
      </c>
      <c r="C18" s="2" t="s">
        <v>9</v>
      </c>
      <c r="D18" s="2">
        <v>27.9</v>
      </c>
      <c r="E18" s="2">
        <v>3</v>
      </c>
      <c r="F18" s="2" t="s">
        <v>16</v>
      </c>
      <c r="G18" s="2" t="s">
        <v>45</v>
      </c>
      <c r="H18" s="2">
        <v>20100</v>
      </c>
      <c r="I18" t="str">
        <f t="shared" si="0"/>
        <v>30-45</v>
      </c>
      <c r="J18" t="str">
        <f t="shared" si="1"/>
        <v>Overweight</v>
      </c>
      <c r="K18" t="str">
        <f t="shared" si="2"/>
        <v>Medium</v>
      </c>
      <c r="L18" t="str">
        <f t="shared" si="3"/>
        <v>Normal</v>
      </c>
    </row>
    <row r="19" spans="1:12">
      <c r="A19" s="2" t="s">
        <v>46</v>
      </c>
      <c r="B19" s="2">
        <v>41</v>
      </c>
      <c r="C19" s="2" t="s">
        <v>13</v>
      </c>
      <c r="D19" s="2">
        <v>31.5</v>
      </c>
      <c r="E19" s="2">
        <v>0</v>
      </c>
      <c r="F19" s="2" t="s">
        <v>10</v>
      </c>
      <c r="G19" s="2" t="s">
        <v>47</v>
      </c>
      <c r="H19" s="2">
        <v>19600</v>
      </c>
      <c r="I19" t="str">
        <f t="shared" si="0"/>
        <v>30-45</v>
      </c>
      <c r="J19" t="str">
        <f t="shared" si="1"/>
        <v>Obese</v>
      </c>
      <c r="K19" t="str">
        <f t="shared" si="2"/>
        <v>Medium</v>
      </c>
      <c r="L19" t="str">
        <f t="shared" si="3"/>
        <v>Normal</v>
      </c>
    </row>
    <row r="20" spans="1:12">
      <c r="A20" s="2" t="s">
        <v>48</v>
      </c>
      <c r="B20" s="2">
        <v>46</v>
      </c>
      <c r="C20" s="2" t="s">
        <v>9</v>
      </c>
      <c r="D20" s="2">
        <v>34.200000000000003</v>
      </c>
      <c r="E20" s="2">
        <v>2</v>
      </c>
      <c r="F20" s="2" t="s">
        <v>10</v>
      </c>
      <c r="G20" s="2" t="s">
        <v>49</v>
      </c>
      <c r="H20" s="2">
        <v>17280</v>
      </c>
      <c r="I20" t="str">
        <f t="shared" si="0"/>
        <v>Above 45</v>
      </c>
      <c r="J20" t="str">
        <f t="shared" si="1"/>
        <v>Obese</v>
      </c>
      <c r="K20" t="str">
        <f t="shared" si="2"/>
        <v>Medium</v>
      </c>
      <c r="L20" t="str">
        <f t="shared" si="3"/>
        <v>Normal</v>
      </c>
    </row>
    <row r="21" spans="1:12">
      <c r="A21" s="2" t="s">
        <v>50</v>
      </c>
      <c r="B21" s="2">
        <v>30</v>
      </c>
      <c r="C21" s="2" t="s">
        <v>13</v>
      </c>
      <c r="D21" s="2">
        <v>26</v>
      </c>
      <c r="E21" s="2">
        <v>1</v>
      </c>
      <c r="F21" s="2" t="s">
        <v>10</v>
      </c>
      <c r="G21" s="2" t="s">
        <v>51</v>
      </c>
      <c r="H21" s="2">
        <v>12210</v>
      </c>
      <c r="I21" t="str">
        <f t="shared" si="0"/>
        <v>30-45</v>
      </c>
      <c r="J21" t="str">
        <f t="shared" si="1"/>
        <v>Overweight</v>
      </c>
      <c r="K21" t="str">
        <f t="shared" si="2"/>
        <v>Low</v>
      </c>
      <c r="L21" t="str">
        <f t="shared" si="3"/>
        <v>Normal</v>
      </c>
    </row>
    <row r="22" spans="1:12">
      <c r="A22" s="2" t="s">
        <v>52</v>
      </c>
      <c r="B22" s="2">
        <v>44</v>
      </c>
      <c r="C22" s="2" t="s">
        <v>9</v>
      </c>
      <c r="D22" s="2">
        <v>29.6</v>
      </c>
      <c r="E22" s="2">
        <v>3</v>
      </c>
      <c r="F22" s="2" t="s">
        <v>16</v>
      </c>
      <c r="G22" s="2" t="s">
        <v>53</v>
      </c>
      <c r="H22" s="2">
        <v>28980</v>
      </c>
      <c r="I22" t="str">
        <f t="shared" si="0"/>
        <v>30-45</v>
      </c>
      <c r="J22" t="str">
        <f t="shared" si="1"/>
        <v>Overweight</v>
      </c>
      <c r="K22" t="str">
        <f t="shared" si="2"/>
        <v>High</v>
      </c>
      <c r="L22" t="str">
        <f t="shared" si="3"/>
        <v>Normal</v>
      </c>
    </row>
    <row r="23" spans="1:12">
      <c r="A23" s="2" t="s">
        <v>54</v>
      </c>
      <c r="B23" s="2">
        <v>35</v>
      </c>
      <c r="C23" s="2" t="s">
        <v>13</v>
      </c>
      <c r="D23" s="2">
        <v>28.8</v>
      </c>
      <c r="E23" s="2">
        <v>0</v>
      </c>
      <c r="F23" s="2" t="s">
        <v>10</v>
      </c>
      <c r="G23" s="2" t="s">
        <v>55</v>
      </c>
      <c r="H23" s="2">
        <v>12210</v>
      </c>
      <c r="I23" t="str">
        <f t="shared" si="0"/>
        <v>30-45</v>
      </c>
      <c r="J23" t="str">
        <f t="shared" si="1"/>
        <v>Overweight</v>
      </c>
      <c r="K23" t="str">
        <f t="shared" si="2"/>
        <v>Low</v>
      </c>
      <c r="L23" t="str">
        <f t="shared" si="3"/>
        <v>Normal</v>
      </c>
    </row>
    <row r="24" spans="1:12">
      <c r="A24" s="2" t="s">
        <v>56</v>
      </c>
      <c r="B24" s="2">
        <v>49</v>
      </c>
      <c r="C24" s="2" t="s">
        <v>9</v>
      </c>
      <c r="D24" s="2">
        <v>33.799999999999997</v>
      </c>
      <c r="E24" s="2">
        <v>2</v>
      </c>
      <c r="F24" s="2" t="s">
        <v>10</v>
      </c>
      <c r="G24" s="2" t="s">
        <v>57</v>
      </c>
      <c r="H24" s="2">
        <v>25760</v>
      </c>
      <c r="I24" t="str">
        <f t="shared" si="0"/>
        <v>Above 45</v>
      </c>
      <c r="J24" t="str">
        <f t="shared" si="1"/>
        <v>Obese</v>
      </c>
      <c r="K24" t="str">
        <f t="shared" si="2"/>
        <v>High</v>
      </c>
      <c r="L24" t="str">
        <f t="shared" si="3"/>
        <v>Normal</v>
      </c>
    </row>
    <row r="25" spans="1:12">
      <c r="A25" s="2" t="s">
        <v>58</v>
      </c>
      <c r="B25" s="2">
        <v>34</v>
      </c>
      <c r="C25" s="2" t="s">
        <v>13</v>
      </c>
      <c r="D25" s="2">
        <v>25.9</v>
      </c>
      <c r="E25" s="2">
        <v>1</v>
      </c>
      <c r="F25" s="2" t="s">
        <v>10</v>
      </c>
      <c r="G25" s="2" t="s">
        <v>59</v>
      </c>
      <c r="H25" s="2">
        <v>9600</v>
      </c>
      <c r="I25" t="str">
        <f t="shared" si="0"/>
        <v>30-45</v>
      </c>
      <c r="J25" t="str">
        <f t="shared" si="1"/>
        <v>Overweight</v>
      </c>
      <c r="K25" t="str">
        <f t="shared" si="2"/>
        <v>Low</v>
      </c>
      <c r="L25" t="str">
        <f t="shared" si="3"/>
        <v>Normal</v>
      </c>
    </row>
    <row r="26" spans="1:12">
      <c r="A26" s="2" t="s">
        <v>60</v>
      </c>
      <c r="B26" s="2">
        <v>38</v>
      </c>
      <c r="C26" s="2" t="s">
        <v>9</v>
      </c>
      <c r="D26" s="2">
        <v>26.3</v>
      </c>
      <c r="E26" s="2">
        <v>2</v>
      </c>
      <c r="F26" s="2" t="s">
        <v>16</v>
      </c>
      <c r="G26" s="2" t="s">
        <v>61</v>
      </c>
      <c r="H26" s="2">
        <v>30550</v>
      </c>
      <c r="I26" t="str">
        <f t="shared" si="0"/>
        <v>30-45</v>
      </c>
      <c r="J26" t="str">
        <f t="shared" si="1"/>
        <v>Overweight</v>
      </c>
      <c r="K26" t="str">
        <f t="shared" si="2"/>
        <v>High</v>
      </c>
      <c r="L26" t="str">
        <f t="shared" si="3"/>
        <v>Normal</v>
      </c>
    </row>
    <row r="27" spans="1:12">
      <c r="A27" s="2" t="s">
        <v>62</v>
      </c>
      <c r="B27" s="2">
        <v>27</v>
      </c>
      <c r="C27" s="2" t="s">
        <v>13</v>
      </c>
      <c r="D27" s="2">
        <v>24.5</v>
      </c>
      <c r="E27" s="2">
        <v>0</v>
      </c>
      <c r="F27" s="2" t="s">
        <v>10</v>
      </c>
      <c r="G27" s="2" t="s">
        <v>63</v>
      </c>
      <c r="H27" s="2">
        <v>13050</v>
      </c>
      <c r="I27" t="str">
        <f t="shared" si="0"/>
        <v>Under30</v>
      </c>
      <c r="J27" t="str">
        <f t="shared" si="1"/>
        <v>Normal</v>
      </c>
      <c r="K27" t="str">
        <f t="shared" si="2"/>
        <v>Low</v>
      </c>
      <c r="L27" t="str">
        <f t="shared" si="3"/>
        <v>Normal</v>
      </c>
    </row>
    <row r="28" spans="1:12">
      <c r="A28" s="2" t="s">
        <v>64</v>
      </c>
      <c r="B28" s="2">
        <v>52</v>
      </c>
      <c r="C28" s="2" t="s">
        <v>9</v>
      </c>
      <c r="D28" s="2">
        <v>35.1</v>
      </c>
      <c r="E28" s="2">
        <v>3</v>
      </c>
      <c r="F28" s="2" t="s">
        <v>16</v>
      </c>
      <c r="G28" s="2" t="s">
        <v>65</v>
      </c>
      <c r="H28" s="2">
        <v>23760</v>
      </c>
      <c r="I28" t="str">
        <f t="shared" si="0"/>
        <v>Above 45</v>
      </c>
      <c r="J28" t="str">
        <f t="shared" si="1"/>
        <v>Obese</v>
      </c>
      <c r="K28" t="str">
        <f t="shared" si="2"/>
        <v>Medium</v>
      </c>
      <c r="L28" t="str">
        <f t="shared" si="3"/>
        <v>High Risk</v>
      </c>
    </row>
    <row r="29" spans="1:12">
      <c r="A29" s="2" t="s">
        <v>66</v>
      </c>
      <c r="B29" s="2">
        <v>33</v>
      </c>
      <c r="C29" s="2" t="s">
        <v>13</v>
      </c>
      <c r="D29" s="2">
        <v>27.6</v>
      </c>
      <c r="E29" s="2">
        <v>1</v>
      </c>
      <c r="F29" s="2" t="s">
        <v>10</v>
      </c>
      <c r="G29" s="2" t="s">
        <v>67</v>
      </c>
      <c r="H29" s="2">
        <v>13940</v>
      </c>
      <c r="I29" t="str">
        <f t="shared" si="0"/>
        <v>30-45</v>
      </c>
      <c r="J29" t="str">
        <f t="shared" si="1"/>
        <v>Overweight</v>
      </c>
      <c r="K29" t="str">
        <f t="shared" si="2"/>
        <v>Low</v>
      </c>
      <c r="L29" t="str">
        <f t="shared" si="3"/>
        <v>Normal</v>
      </c>
    </row>
    <row r="30" spans="1:12">
      <c r="A30" s="2" t="s">
        <v>68</v>
      </c>
      <c r="B30" s="2">
        <v>50</v>
      </c>
      <c r="C30" s="2" t="s">
        <v>9</v>
      </c>
      <c r="D30" s="2">
        <v>31.8</v>
      </c>
      <c r="E30" s="2">
        <v>2</v>
      </c>
      <c r="F30" s="2" t="s">
        <v>10</v>
      </c>
      <c r="G30" s="2" t="s">
        <v>69</v>
      </c>
      <c r="H30" s="2">
        <v>21830</v>
      </c>
      <c r="I30" t="str">
        <f t="shared" si="0"/>
        <v>Above 45</v>
      </c>
      <c r="J30" t="str">
        <f t="shared" si="1"/>
        <v>Obese</v>
      </c>
      <c r="K30" t="str">
        <f t="shared" si="2"/>
        <v>Medium</v>
      </c>
      <c r="L30" t="str">
        <f t="shared" si="3"/>
        <v>Normal</v>
      </c>
    </row>
    <row r="31" spans="1:12">
      <c r="A31" s="2" t="s">
        <v>70</v>
      </c>
      <c r="B31" s="2">
        <v>39</v>
      </c>
      <c r="C31" s="2" t="s">
        <v>13</v>
      </c>
      <c r="D31" s="2">
        <v>29.2</v>
      </c>
      <c r="E31" s="2">
        <v>0</v>
      </c>
      <c r="F31" s="2" t="s">
        <v>10</v>
      </c>
      <c r="G31" s="2" t="s">
        <v>71</v>
      </c>
      <c r="H31" s="2">
        <v>19270</v>
      </c>
      <c r="I31" t="str">
        <f t="shared" si="0"/>
        <v>30-45</v>
      </c>
      <c r="J31" t="str">
        <f t="shared" si="1"/>
        <v>Overweight</v>
      </c>
      <c r="K31" t="str">
        <f t="shared" si="2"/>
        <v>Medium</v>
      </c>
      <c r="L31" t="str">
        <f t="shared" si="3"/>
        <v>Normal</v>
      </c>
    </row>
    <row r="32" spans="1:12">
      <c r="A32" s="2" t="s">
        <v>72</v>
      </c>
      <c r="B32" s="2">
        <v>47</v>
      </c>
      <c r="C32" s="2" t="s">
        <v>9</v>
      </c>
      <c r="D32" s="2">
        <v>32.5</v>
      </c>
      <c r="E32" s="2">
        <v>3</v>
      </c>
      <c r="F32" s="2" t="s">
        <v>16</v>
      </c>
      <c r="G32" s="2" t="s">
        <v>73</v>
      </c>
      <c r="H32" s="2">
        <v>22400</v>
      </c>
      <c r="I32" t="str">
        <f t="shared" si="0"/>
        <v>Above 45</v>
      </c>
      <c r="J32" t="str">
        <f t="shared" si="1"/>
        <v>Obese</v>
      </c>
      <c r="K32" t="str">
        <f t="shared" si="2"/>
        <v>Medium</v>
      </c>
      <c r="L32" t="str">
        <f t="shared" si="3"/>
        <v>High Risk</v>
      </c>
    </row>
    <row r="33" spans="1:12">
      <c r="A33" s="2" t="s">
        <v>74</v>
      </c>
      <c r="B33" s="2">
        <v>31</v>
      </c>
      <c r="C33" s="2" t="s">
        <v>13</v>
      </c>
      <c r="D33" s="2">
        <v>26.5</v>
      </c>
      <c r="E33" s="2">
        <v>1</v>
      </c>
      <c r="F33" s="2" t="s">
        <v>10</v>
      </c>
      <c r="G33" s="2" t="s">
        <v>75</v>
      </c>
      <c r="H33" s="2">
        <v>16100</v>
      </c>
      <c r="I33" t="str">
        <f t="shared" si="0"/>
        <v>30-45</v>
      </c>
      <c r="J33" t="str">
        <f t="shared" si="1"/>
        <v>Overweight</v>
      </c>
      <c r="K33" t="str">
        <f t="shared" si="2"/>
        <v>Medium</v>
      </c>
      <c r="L33" t="str">
        <f t="shared" si="3"/>
        <v>Normal</v>
      </c>
    </row>
    <row r="34" spans="1:12">
      <c r="A34" s="2" t="s">
        <v>76</v>
      </c>
      <c r="B34" s="2">
        <v>45</v>
      </c>
      <c r="C34" s="2" t="s">
        <v>9</v>
      </c>
      <c r="D34" s="2">
        <v>30.3</v>
      </c>
      <c r="E34" s="2">
        <v>2</v>
      </c>
      <c r="F34" s="2" t="s">
        <v>10</v>
      </c>
      <c r="G34" s="2" t="s">
        <v>77</v>
      </c>
      <c r="H34" s="2">
        <v>25080</v>
      </c>
      <c r="I34" t="str">
        <f t="shared" si="0"/>
        <v>30-45</v>
      </c>
      <c r="J34" t="str">
        <f t="shared" si="1"/>
        <v>Obese</v>
      </c>
      <c r="K34" t="str">
        <f t="shared" si="2"/>
        <v>High</v>
      </c>
      <c r="L34" t="str">
        <f t="shared" si="3"/>
        <v>Normal</v>
      </c>
    </row>
    <row r="35" spans="1:12">
      <c r="A35" s="2" t="s">
        <v>78</v>
      </c>
      <c r="B35" s="2">
        <v>37</v>
      </c>
      <c r="C35" s="2" t="s">
        <v>13</v>
      </c>
      <c r="D35" s="2">
        <v>28</v>
      </c>
      <c r="E35" s="2">
        <v>0</v>
      </c>
      <c r="F35" s="2" t="s">
        <v>10</v>
      </c>
      <c r="G35" s="2" t="s">
        <v>79</v>
      </c>
      <c r="H35" s="2">
        <v>14430</v>
      </c>
      <c r="I35" t="str">
        <f t="shared" si="0"/>
        <v>30-45</v>
      </c>
      <c r="J35" t="str">
        <f t="shared" si="1"/>
        <v>Overweight</v>
      </c>
      <c r="K35" t="str">
        <f t="shared" si="2"/>
        <v>Low</v>
      </c>
      <c r="L35" t="str">
        <f t="shared" si="3"/>
        <v>Normal</v>
      </c>
    </row>
    <row r="36" spans="1:12">
      <c r="A36" s="2" t="s">
        <v>80</v>
      </c>
      <c r="B36" s="2">
        <v>48</v>
      </c>
      <c r="C36" s="2" t="s">
        <v>9</v>
      </c>
      <c r="D36" s="2">
        <v>33.5</v>
      </c>
      <c r="E36" s="2">
        <v>3</v>
      </c>
      <c r="F36" s="2" t="s">
        <v>16</v>
      </c>
      <c r="G36" s="2" t="s">
        <v>81</v>
      </c>
      <c r="H36" s="2">
        <v>30530</v>
      </c>
      <c r="I36" t="str">
        <f t="shared" si="0"/>
        <v>Above 45</v>
      </c>
      <c r="J36" t="str">
        <f t="shared" si="1"/>
        <v>Obese</v>
      </c>
      <c r="K36" t="str">
        <f t="shared" si="2"/>
        <v>High</v>
      </c>
      <c r="L36" t="str">
        <f t="shared" si="3"/>
        <v>High Risk</v>
      </c>
    </row>
    <row r="37" spans="1:12">
      <c r="A37" s="2" t="s">
        <v>82</v>
      </c>
      <c r="B37" s="2">
        <v>29</v>
      </c>
      <c r="C37" s="2" t="s">
        <v>13</v>
      </c>
      <c r="D37" s="2">
        <v>25.3</v>
      </c>
      <c r="E37" s="2">
        <v>1</v>
      </c>
      <c r="F37" s="2" t="s">
        <v>10</v>
      </c>
      <c r="G37" s="2" t="s">
        <v>83</v>
      </c>
      <c r="H37" s="2">
        <v>9900</v>
      </c>
      <c r="I37" t="str">
        <f t="shared" si="0"/>
        <v>Under30</v>
      </c>
      <c r="J37" t="str">
        <f t="shared" si="1"/>
        <v>Overweight</v>
      </c>
      <c r="K37" t="str">
        <f t="shared" si="2"/>
        <v>Low</v>
      </c>
      <c r="L37" t="str">
        <f t="shared" si="3"/>
        <v>Normal</v>
      </c>
    </row>
    <row r="38" spans="1:12">
      <c r="A38" s="2" t="s">
        <v>84</v>
      </c>
      <c r="B38" s="2">
        <v>51</v>
      </c>
      <c r="C38" s="2" t="s">
        <v>9</v>
      </c>
      <c r="D38" s="2">
        <v>34.700000000000003</v>
      </c>
      <c r="E38" s="2">
        <v>2</v>
      </c>
      <c r="F38" s="2" t="s">
        <v>10</v>
      </c>
      <c r="G38" s="2" t="s">
        <v>85</v>
      </c>
      <c r="H38" s="2">
        <v>22200</v>
      </c>
      <c r="I38" t="str">
        <f t="shared" si="0"/>
        <v>Above 45</v>
      </c>
      <c r="J38" t="str">
        <f t="shared" si="1"/>
        <v>Obese</v>
      </c>
      <c r="K38" t="str">
        <f t="shared" si="2"/>
        <v>Medium</v>
      </c>
      <c r="L38" t="str">
        <f t="shared" si="3"/>
        <v>Normal</v>
      </c>
    </row>
    <row r="39" spans="1:12">
      <c r="A39" s="2" t="s">
        <v>86</v>
      </c>
      <c r="B39" s="2">
        <v>32</v>
      </c>
      <c r="C39" s="2" t="s">
        <v>13</v>
      </c>
      <c r="D39" s="2">
        <v>27.2</v>
      </c>
      <c r="E39" s="2">
        <v>0</v>
      </c>
      <c r="F39" s="2" t="s">
        <v>10</v>
      </c>
      <c r="G39" s="2" t="s">
        <v>87</v>
      </c>
      <c r="H39" s="2">
        <v>15480</v>
      </c>
      <c r="I39" t="str">
        <f t="shared" si="0"/>
        <v>30-45</v>
      </c>
      <c r="J39" t="str">
        <f t="shared" si="1"/>
        <v>Overweight</v>
      </c>
      <c r="K39" t="str">
        <f t="shared" si="2"/>
        <v>Low</v>
      </c>
      <c r="L39" t="str">
        <f t="shared" si="3"/>
        <v>Normal</v>
      </c>
    </row>
    <row r="40" spans="1:12">
      <c r="A40" s="2" t="s">
        <v>88</v>
      </c>
      <c r="B40" s="2">
        <v>46</v>
      </c>
      <c r="C40" s="2" t="s">
        <v>9</v>
      </c>
      <c r="D40" s="2">
        <v>31</v>
      </c>
      <c r="E40" s="2">
        <v>3</v>
      </c>
      <c r="F40" s="2" t="s">
        <v>16</v>
      </c>
      <c r="G40" s="2" t="s">
        <v>89</v>
      </c>
      <c r="H40" s="2">
        <v>24480</v>
      </c>
      <c r="I40" t="str">
        <f t="shared" si="0"/>
        <v>Above 45</v>
      </c>
      <c r="J40" t="str">
        <f t="shared" si="1"/>
        <v>Obese</v>
      </c>
      <c r="K40" t="str">
        <f t="shared" si="2"/>
        <v>Medium</v>
      </c>
      <c r="L40" t="str">
        <f t="shared" si="3"/>
        <v>High Risk</v>
      </c>
    </row>
    <row r="41" spans="1:12">
      <c r="A41" s="2" t="s">
        <v>90</v>
      </c>
      <c r="B41" s="2">
        <v>36</v>
      </c>
      <c r="C41" s="2" t="s">
        <v>13</v>
      </c>
      <c r="D41" s="2">
        <v>29.1</v>
      </c>
      <c r="E41" s="2">
        <v>1</v>
      </c>
      <c r="F41" s="2" t="s">
        <v>10</v>
      </c>
      <c r="G41" s="2" t="s">
        <v>91</v>
      </c>
      <c r="H41" s="2">
        <v>12000</v>
      </c>
      <c r="I41" t="str">
        <f t="shared" si="0"/>
        <v>30-45</v>
      </c>
      <c r="J41" t="str">
        <f t="shared" si="1"/>
        <v>Overweight</v>
      </c>
      <c r="K41" t="str">
        <f t="shared" si="2"/>
        <v>Low</v>
      </c>
      <c r="L41" t="str">
        <f t="shared" si="3"/>
        <v>Normal</v>
      </c>
    </row>
    <row r="42" spans="1:12">
      <c r="A42" s="2" t="s">
        <v>92</v>
      </c>
      <c r="B42" s="2">
        <v>49</v>
      </c>
      <c r="C42" s="2" t="s">
        <v>9</v>
      </c>
      <c r="D42" s="2">
        <v>32.799999999999997</v>
      </c>
      <c r="E42" s="2">
        <v>2</v>
      </c>
      <c r="F42" s="2" t="s">
        <v>10</v>
      </c>
      <c r="G42" s="2" t="s">
        <v>93</v>
      </c>
      <c r="H42" s="2">
        <v>28060</v>
      </c>
      <c r="I42" t="str">
        <f t="shared" si="0"/>
        <v>Above 45</v>
      </c>
      <c r="J42" t="str">
        <f t="shared" si="1"/>
        <v>Obese</v>
      </c>
      <c r="K42" t="str">
        <f t="shared" si="2"/>
        <v>High</v>
      </c>
      <c r="L42" t="str">
        <f t="shared" si="3"/>
        <v>Normal</v>
      </c>
    </row>
    <row r="43" spans="1:12">
      <c r="A43" s="2" t="s">
        <v>94</v>
      </c>
      <c r="B43" s="2">
        <v>38</v>
      </c>
      <c r="C43" s="2" t="s">
        <v>13</v>
      </c>
      <c r="D43" s="2">
        <v>27.8</v>
      </c>
      <c r="E43" s="2">
        <v>0</v>
      </c>
      <c r="F43" s="2" t="s">
        <v>10</v>
      </c>
      <c r="G43" s="2" t="s">
        <v>95</v>
      </c>
      <c r="H43" s="2">
        <v>14060</v>
      </c>
      <c r="I43" t="str">
        <f t="shared" si="0"/>
        <v>30-45</v>
      </c>
      <c r="J43" t="str">
        <f t="shared" si="1"/>
        <v>Overweight</v>
      </c>
      <c r="K43" t="str">
        <f t="shared" si="2"/>
        <v>Low</v>
      </c>
      <c r="L43" t="str">
        <f t="shared" si="3"/>
        <v>Normal</v>
      </c>
    </row>
    <row r="44" spans="1:12">
      <c r="A44" s="2" t="s">
        <v>96</v>
      </c>
      <c r="B44" s="2">
        <v>53</v>
      </c>
      <c r="C44" s="2" t="s">
        <v>9</v>
      </c>
      <c r="D44" s="2">
        <v>35.299999999999997</v>
      </c>
      <c r="E44" s="2">
        <v>3</v>
      </c>
      <c r="F44" s="2" t="s">
        <v>16</v>
      </c>
      <c r="G44" s="2" t="s">
        <v>97</v>
      </c>
      <c r="H44" s="2">
        <v>32120</v>
      </c>
      <c r="I44" t="str">
        <f t="shared" si="0"/>
        <v>Above 45</v>
      </c>
      <c r="J44" t="str">
        <f t="shared" si="1"/>
        <v>Obese</v>
      </c>
      <c r="K44" t="str">
        <f t="shared" si="2"/>
        <v>High</v>
      </c>
      <c r="L44" t="str">
        <f t="shared" si="3"/>
        <v>High Risk</v>
      </c>
    </row>
    <row r="45" spans="1:12">
      <c r="A45" s="2" t="s">
        <v>98</v>
      </c>
      <c r="B45" s="2">
        <v>34</v>
      </c>
      <c r="C45" s="2" t="s">
        <v>13</v>
      </c>
      <c r="D45" s="2">
        <v>26.4</v>
      </c>
      <c r="E45" s="2">
        <v>1</v>
      </c>
      <c r="F45" s="2" t="s">
        <v>10</v>
      </c>
      <c r="G45" s="2" t="s">
        <v>99</v>
      </c>
      <c r="H45" s="2">
        <v>15640</v>
      </c>
      <c r="I45" t="str">
        <f t="shared" si="0"/>
        <v>30-45</v>
      </c>
      <c r="J45" t="str">
        <f t="shared" si="1"/>
        <v>Overweight</v>
      </c>
      <c r="K45" t="str">
        <f t="shared" si="2"/>
        <v>Low</v>
      </c>
      <c r="L45" t="str">
        <f t="shared" si="3"/>
        <v>Normal</v>
      </c>
    </row>
    <row r="46" spans="1:12">
      <c r="A46" s="2" t="s">
        <v>100</v>
      </c>
      <c r="B46" s="2">
        <v>48</v>
      </c>
      <c r="C46" s="2" t="s">
        <v>9</v>
      </c>
      <c r="D46" s="2">
        <v>31.7</v>
      </c>
      <c r="E46" s="2">
        <v>2</v>
      </c>
      <c r="F46" s="2" t="s">
        <v>10</v>
      </c>
      <c r="G46" s="2" t="s">
        <v>101</v>
      </c>
      <c r="H46" s="2">
        <v>20880</v>
      </c>
      <c r="I46" t="str">
        <f t="shared" si="0"/>
        <v>Above 45</v>
      </c>
      <c r="J46" t="str">
        <f t="shared" si="1"/>
        <v>Obese</v>
      </c>
      <c r="K46" t="str">
        <f t="shared" si="2"/>
        <v>Medium</v>
      </c>
      <c r="L46" t="str">
        <f t="shared" si="3"/>
        <v>Normal</v>
      </c>
    </row>
    <row r="47" spans="1:12">
      <c r="A47" s="2" t="s">
        <v>102</v>
      </c>
      <c r="B47" s="2">
        <v>30</v>
      </c>
      <c r="C47" s="2" t="s">
        <v>13</v>
      </c>
      <c r="D47" s="2">
        <v>25.8</v>
      </c>
      <c r="E47" s="2">
        <v>0</v>
      </c>
      <c r="F47" s="2" t="s">
        <v>10</v>
      </c>
      <c r="G47" s="2" t="s">
        <v>103</v>
      </c>
      <c r="H47" s="2">
        <v>11840</v>
      </c>
      <c r="I47" t="str">
        <f t="shared" si="0"/>
        <v>30-45</v>
      </c>
      <c r="J47" t="str">
        <f t="shared" si="1"/>
        <v>Overweight</v>
      </c>
      <c r="K47" t="str">
        <f t="shared" si="2"/>
        <v>Low</v>
      </c>
      <c r="L47" t="str">
        <f t="shared" si="3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1260-BBDA-494B-A0D5-9D9A80AFC2D9}">
  <dimension ref="B2:H122"/>
  <sheetViews>
    <sheetView tabSelected="1" workbookViewId="0">
      <selection activeCell="H2" sqref="H2"/>
    </sheetView>
  </sheetViews>
  <sheetFormatPr defaultRowHeight="15"/>
  <cols>
    <col min="2" max="2" width="11.140625" customWidth="1"/>
    <col min="3" max="3" width="16" bestFit="1" customWidth="1"/>
    <col min="4" max="4" width="30.7109375" bestFit="1" customWidth="1"/>
    <col min="5" max="5" width="16.5703125" customWidth="1"/>
    <col min="6" max="6" width="12" bestFit="1" customWidth="1"/>
    <col min="7" max="37" width="6" bestFit="1" customWidth="1"/>
    <col min="38" max="38" width="17.28515625" bestFit="1" customWidth="1"/>
    <col min="39" max="39" width="9.5703125" bestFit="1" customWidth="1"/>
    <col min="40" max="49" width="6" bestFit="1" customWidth="1"/>
    <col min="50" max="50" width="12.5703125" bestFit="1" customWidth="1"/>
    <col min="51" max="51" width="11.28515625" bestFit="1" customWidth="1"/>
  </cols>
  <sheetData>
    <row r="2" spans="2:8" ht="18.75">
      <c r="B2" s="4" t="s">
        <v>104</v>
      </c>
      <c r="H2" s="4"/>
    </row>
    <row r="3" spans="2:8" ht="15.75">
      <c r="D3" s="3">
        <f>COUNTA('Healthcare Insurance'!A2:A47)</f>
        <v>46</v>
      </c>
    </row>
    <row r="5" spans="2:8" ht="18.75">
      <c r="B5" s="4" t="s">
        <v>105</v>
      </c>
    </row>
    <row r="6" spans="2:8" ht="15.75">
      <c r="D6" s="18">
        <f>AVERAGE('Healthcare Insurance'!H2:H47)</f>
        <v>18244.347826086956</v>
      </c>
    </row>
    <row r="7" spans="2:8">
      <c r="F7" s="8"/>
    </row>
    <row r="8" spans="2:8" ht="18.75">
      <c r="B8" s="4" t="s">
        <v>106</v>
      </c>
      <c r="F8" s="8"/>
    </row>
    <row r="9" spans="2:8">
      <c r="C9" s="6" t="s">
        <v>107</v>
      </c>
      <c r="D9" s="6" t="s">
        <v>108</v>
      </c>
      <c r="F9" s="8"/>
    </row>
    <row r="10" spans="2:8">
      <c r="C10" s="6">
        <f>MIN('Healthcare Insurance'!H2:H47)</f>
        <v>9600</v>
      </c>
      <c r="D10" s="6">
        <f>MAX('Healthcare Insurance'!H2:H47)</f>
        <v>32120</v>
      </c>
    </row>
    <row r="12" spans="2:8" ht="18.75">
      <c r="B12" s="4" t="s">
        <v>109</v>
      </c>
    </row>
    <row r="13" spans="2:8">
      <c r="C13" s="7" t="s">
        <v>9</v>
      </c>
      <c r="D13" s="7" t="s">
        <v>13</v>
      </c>
    </row>
    <row r="14" spans="2:8">
      <c r="C14" s="7">
        <f>COUNTIF('Healthcare Insurance'!C2:C47,"Male")</f>
        <v>23</v>
      </c>
      <c r="D14" s="7">
        <f>COUNTIF('Healthcare Insurance'!C2:C47,"Female")</f>
        <v>23</v>
      </c>
    </row>
    <row r="16" spans="2:8" ht="18.75">
      <c r="B16" s="4" t="s">
        <v>110</v>
      </c>
    </row>
    <row r="17" spans="2:4">
      <c r="D17" s="9">
        <f>AVERAGE('Healthcare Insurance'!B2:B47)</f>
        <v>39.695652173913047</v>
      </c>
    </row>
    <row r="19" spans="2:4" ht="18.75">
      <c r="B19" s="4" t="s">
        <v>111</v>
      </c>
    </row>
    <row r="20" spans="2:4">
      <c r="D20" s="9">
        <f>AVERAGE('Healthcare Insurance'!D2:D47)</f>
        <v>29.104347826086954</v>
      </c>
    </row>
    <row r="22" spans="2:4" ht="18.75">
      <c r="B22" s="4" t="s">
        <v>112</v>
      </c>
    </row>
    <row r="23" spans="2:4">
      <c r="C23" s="10" t="s">
        <v>113</v>
      </c>
      <c r="D23" s="10" t="s">
        <v>114</v>
      </c>
    </row>
    <row r="24" spans="2:4">
      <c r="C24" s="11">
        <f>COUNTIF('Healthcare Insurance'!F2:F47,"Smoker")</f>
        <v>11</v>
      </c>
      <c r="D24" s="11">
        <f>COUNTIF('Healthcare Insurance'!F2:F47,"Non-Smoker")</f>
        <v>35</v>
      </c>
    </row>
    <row r="26" spans="2:4" ht="18.75">
      <c r="B26" s="4" t="s">
        <v>115</v>
      </c>
    </row>
    <row r="29" spans="2:4" ht="18.75">
      <c r="B29" s="4" t="s">
        <v>116</v>
      </c>
    </row>
    <row r="30" spans="2:4">
      <c r="C30" s="5" t="s">
        <v>9</v>
      </c>
      <c r="D30" s="5" t="s">
        <v>13</v>
      </c>
    </row>
    <row r="31" spans="2:4">
      <c r="C31" s="12">
        <f>AVERAGEIF('Healthcare Insurance'!C2:C47,"Male",'Healthcare Insurance'!H2:H47)</f>
        <v>22412.608695652172</v>
      </c>
      <c r="D31" s="12">
        <f>AVERAGEIF('Healthcare Insurance'!C2:C47,"Female",'Healthcare Insurance'!H2:H47)</f>
        <v>14076.08695652174</v>
      </c>
    </row>
    <row r="33" spans="2:4" ht="18.75">
      <c r="B33" s="4" t="s">
        <v>117</v>
      </c>
    </row>
    <row r="34" spans="2:4">
      <c r="C34" s="10" t="s">
        <v>113</v>
      </c>
      <c r="D34" s="10" t="s">
        <v>114</v>
      </c>
    </row>
    <row r="35" spans="2:4">
      <c r="C35" s="13">
        <f>AVERAGEIF('Healthcare Insurance'!F2:F47,"Smoker",'Healthcare Insurance'!H2:H47)</f>
        <v>24429.090909090908</v>
      </c>
      <c r="D35" s="13">
        <f>AVERAGEIF('Healthcare Insurance'!F2:F47,"Non-Smoker",'Healthcare Insurance'!H2:H47)</f>
        <v>16300.571428571429</v>
      </c>
    </row>
    <row r="37" spans="2:4" ht="18.75">
      <c r="B37" s="4" t="s">
        <v>118</v>
      </c>
    </row>
    <row r="38" spans="2:4">
      <c r="C38" s="14" t="s">
        <v>119</v>
      </c>
      <c r="D38" t="s">
        <v>122</v>
      </c>
    </row>
    <row r="39" spans="2:4">
      <c r="C39" s="15" t="s">
        <v>73</v>
      </c>
      <c r="D39" s="16">
        <v>22400</v>
      </c>
    </row>
    <row r="40" spans="2:4">
      <c r="C40" s="15" t="s">
        <v>99</v>
      </c>
      <c r="D40" s="16">
        <v>15640</v>
      </c>
    </row>
    <row r="41" spans="2:4">
      <c r="C41" s="15" t="s">
        <v>83</v>
      </c>
      <c r="D41" s="16">
        <v>9900</v>
      </c>
    </row>
    <row r="42" spans="2:4">
      <c r="C42" s="15" t="s">
        <v>33</v>
      </c>
      <c r="D42" s="16">
        <v>18920</v>
      </c>
    </row>
    <row r="43" spans="2:4">
      <c r="C43" s="15" t="s">
        <v>69</v>
      </c>
      <c r="D43" s="16">
        <v>21830</v>
      </c>
    </row>
    <row r="44" spans="2:4">
      <c r="C44" s="15" t="s">
        <v>55</v>
      </c>
      <c r="D44" s="16">
        <v>12210</v>
      </c>
    </row>
    <row r="45" spans="2:4">
      <c r="C45" s="15" t="s">
        <v>45</v>
      </c>
      <c r="D45" s="16">
        <v>20100</v>
      </c>
    </row>
    <row r="46" spans="2:4">
      <c r="C46" s="15" t="s">
        <v>17</v>
      </c>
      <c r="D46" s="16">
        <v>21080</v>
      </c>
    </row>
    <row r="47" spans="2:4">
      <c r="C47" s="15" t="s">
        <v>41</v>
      </c>
      <c r="D47" s="16">
        <v>17550</v>
      </c>
    </row>
    <row r="48" spans="2:4">
      <c r="C48" s="15" t="s">
        <v>29</v>
      </c>
      <c r="D48" s="16">
        <v>19720</v>
      </c>
    </row>
    <row r="49" spans="3:4">
      <c r="C49" s="15" t="s">
        <v>49</v>
      </c>
      <c r="D49" s="16">
        <v>17280</v>
      </c>
    </row>
    <row r="50" spans="3:4">
      <c r="C50" s="15" t="s">
        <v>51</v>
      </c>
      <c r="D50" s="16">
        <v>12210</v>
      </c>
    </row>
    <row r="51" spans="3:4">
      <c r="C51" s="15" t="s">
        <v>43</v>
      </c>
      <c r="D51" s="16">
        <v>10540</v>
      </c>
    </row>
    <row r="52" spans="3:4">
      <c r="C52" s="15" t="s">
        <v>77</v>
      </c>
      <c r="D52" s="16">
        <v>25080</v>
      </c>
    </row>
    <row r="53" spans="3:4">
      <c r="C53" s="15" t="s">
        <v>19</v>
      </c>
      <c r="D53" s="16">
        <v>10080</v>
      </c>
    </row>
    <row r="54" spans="3:4">
      <c r="C54" s="15" t="s">
        <v>39</v>
      </c>
      <c r="D54" s="16">
        <v>15960</v>
      </c>
    </row>
    <row r="55" spans="3:4">
      <c r="C55" s="15" t="s">
        <v>35</v>
      </c>
      <c r="D55" s="16">
        <v>11020</v>
      </c>
    </row>
    <row r="56" spans="3:4">
      <c r="C56" s="15" t="s">
        <v>85</v>
      </c>
      <c r="D56" s="16">
        <v>22200</v>
      </c>
    </row>
    <row r="57" spans="3:4">
      <c r="C57" s="15" t="s">
        <v>65</v>
      </c>
      <c r="D57" s="16">
        <v>23760</v>
      </c>
    </row>
    <row r="58" spans="3:4">
      <c r="C58" s="15" t="s">
        <v>89</v>
      </c>
      <c r="D58" s="16">
        <v>24480</v>
      </c>
    </row>
    <row r="59" spans="3:4">
      <c r="C59" s="15" t="s">
        <v>14</v>
      </c>
      <c r="D59" s="16">
        <v>21600</v>
      </c>
    </row>
    <row r="60" spans="3:4">
      <c r="C60" s="15" t="s">
        <v>67</v>
      </c>
      <c r="D60" s="16">
        <v>13940</v>
      </c>
    </row>
    <row r="61" spans="3:4">
      <c r="C61" s="15" t="s">
        <v>59</v>
      </c>
      <c r="D61" s="16">
        <v>9600</v>
      </c>
    </row>
    <row r="62" spans="3:4">
      <c r="C62" s="15" t="s">
        <v>81</v>
      </c>
      <c r="D62" s="16">
        <v>30530</v>
      </c>
    </row>
    <row r="63" spans="3:4">
      <c r="C63" s="15" t="s">
        <v>87</v>
      </c>
      <c r="D63" s="16">
        <v>15480</v>
      </c>
    </row>
    <row r="64" spans="3:4">
      <c r="C64" s="15" t="s">
        <v>71</v>
      </c>
      <c r="D64" s="16">
        <v>19270</v>
      </c>
    </row>
    <row r="65" spans="3:4">
      <c r="C65" s="15" t="s">
        <v>57</v>
      </c>
      <c r="D65" s="16">
        <v>25760</v>
      </c>
    </row>
    <row r="66" spans="3:4">
      <c r="C66" s="15" t="s">
        <v>103</v>
      </c>
      <c r="D66" s="16">
        <v>11840</v>
      </c>
    </row>
    <row r="67" spans="3:4">
      <c r="C67" s="15" t="s">
        <v>11</v>
      </c>
      <c r="D67" s="16">
        <v>16450</v>
      </c>
    </row>
    <row r="68" spans="3:4">
      <c r="C68" s="15" t="s">
        <v>93</v>
      </c>
      <c r="D68" s="16">
        <v>28060</v>
      </c>
    </row>
    <row r="69" spans="3:4">
      <c r="C69" s="15" t="s">
        <v>63</v>
      </c>
      <c r="D69" s="16">
        <v>13050</v>
      </c>
    </row>
    <row r="70" spans="3:4">
      <c r="C70" s="15" t="s">
        <v>23</v>
      </c>
      <c r="D70" s="16">
        <v>18000</v>
      </c>
    </row>
    <row r="71" spans="3:4">
      <c r="C71" s="15" t="s">
        <v>21</v>
      </c>
      <c r="D71" s="16">
        <v>17640</v>
      </c>
    </row>
    <row r="72" spans="3:4">
      <c r="C72" s="15" t="s">
        <v>61</v>
      </c>
      <c r="D72" s="16">
        <v>30550</v>
      </c>
    </row>
    <row r="73" spans="3:4">
      <c r="C73" s="15" t="s">
        <v>79</v>
      </c>
      <c r="D73" s="16">
        <v>14430</v>
      </c>
    </row>
    <row r="74" spans="3:4">
      <c r="C74" s="15" t="s">
        <v>25</v>
      </c>
      <c r="D74" s="16">
        <v>11520</v>
      </c>
    </row>
    <row r="75" spans="3:4">
      <c r="C75" s="15" t="s">
        <v>27</v>
      </c>
      <c r="D75" s="16">
        <v>16120</v>
      </c>
    </row>
    <row r="76" spans="3:4">
      <c r="C76" s="15" t="s">
        <v>37</v>
      </c>
      <c r="D76" s="16">
        <v>18600</v>
      </c>
    </row>
    <row r="77" spans="3:4">
      <c r="C77" s="15" t="s">
        <v>31</v>
      </c>
      <c r="D77" s="16">
        <v>11100</v>
      </c>
    </row>
    <row r="78" spans="3:4">
      <c r="C78" s="15" t="s">
        <v>47</v>
      </c>
      <c r="D78" s="16">
        <v>19600</v>
      </c>
    </row>
    <row r="79" spans="3:4">
      <c r="C79" s="15" t="s">
        <v>97</v>
      </c>
      <c r="D79" s="16">
        <v>32120</v>
      </c>
    </row>
    <row r="80" spans="3:4">
      <c r="C80" s="15" t="s">
        <v>75</v>
      </c>
      <c r="D80" s="16">
        <v>16100</v>
      </c>
    </row>
    <row r="81" spans="2:4">
      <c r="C81" s="15" t="s">
        <v>95</v>
      </c>
      <c r="D81" s="16">
        <v>14060</v>
      </c>
    </row>
    <row r="82" spans="2:4">
      <c r="C82" s="15" t="s">
        <v>91</v>
      </c>
      <c r="D82" s="16">
        <v>12000</v>
      </c>
    </row>
    <row r="83" spans="2:4">
      <c r="C83" s="15" t="s">
        <v>53</v>
      </c>
      <c r="D83" s="16">
        <v>28980</v>
      </c>
    </row>
    <row r="84" spans="2:4">
      <c r="C84" s="15" t="s">
        <v>101</v>
      </c>
      <c r="D84" s="16">
        <v>20880</v>
      </c>
    </row>
    <row r="85" spans="2:4">
      <c r="C85" s="15" t="s">
        <v>120</v>
      </c>
      <c r="D85" s="16">
        <v>18244.347826086956</v>
      </c>
    </row>
    <row r="87" spans="2:4" ht="18.75">
      <c r="B87" s="4" t="s">
        <v>124</v>
      </c>
    </row>
    <row r="88" spans="2:4">
      <c r="B88" s="5" t="s">
        <v>125</v>
      </c>
      <c r="C88" s="5" t="s">
        <v>126</v>
      </c>
      <c r="D88" s="5" t="s">
        <v>127</v>
      </c>
    </row>
    <row r="89" spans="2:4">
      <c r="B89" s="5">
        <f>AVERAGEIF('Healthcare Insurance'!$I2:$I47,"Under30",'Healthcare Insurance'!$H2:$H47)</f>
        <v>11012.5</v>
      </c>
      <c r="C89" s="12">
        <f>AVERAGEIF('Healthcare Insurance'!$I2:$I47,"30-45",'Healthcare Insurance'!$H2:$H47)</f>
        <v>16660.357142857141</v>
      </c>
      <c r="D89" s="12">
        <f>AVERAGEIF('Healthcare Insurance'!$I2:$I47,"Above 45",'Healthcare Insurance'!$H2:$H47)</f>
        <v>23478.571428571428</v>
      </c>
    </row>
    <row r="91" spans="2:4" ht="18.75">
      <c r="B91" s="4" t="s">
        <v>128</v>
      </c>
    </row>
    <row r="92" spans="2:4">
      <c r="C92" s="9">
        <f>AVERAGEIF('Healthcare Insurance'!J2:J47,"Obese",'Healthcare Insurance'!H2:H47)</f>
        <v>23076.470588235294</v>
      </c>
    </row>
    <row r="94" spans="2:4" ht="18.75">
      <c r="B94" s="4" t="s">
        <v>129</v>
      </c>
    </row>
    <row r="97" spans="2:4" ht="18.75">
      <c r="B97" s="4" t="s">
        <v>130</v>
      </c>
    </row>
    <row r="98" spans="2:4">
      <c r="C98" s="14" t="s">
        <v>119</v>
      </c>
      <c r="D98" t="s">
        <v>121</v>
      </c>
    </row>
    <row r="99" spans="2:4">
      <c r="C99" s="15" t="s">
        <v>96</v>
      </c>
      <c r="D99" s="16">
        <v>32120</v>
      </c>
    </row>
    <row r="100" spans="2:4">
      <c r="C100" s="15" t="s">
        <v>60</v>
      </c>
      <c r="D100" s="16">
        <v>30550</v>
      </c>
    </row>
    <row r="101" spans="2:4">
      <c r="C101" s="15" t="s">
        <v>80</v>
      </c>
      <c r="D101" s="16">
        <v>30530</v>
      </c>
    </row>
    <row r="102" spans="2:4">
      <c r="C102" s="15" t="s">
        <v>52</v>
      </c>
      <c r="D102" s="16">
        <v>28980</v>
      </c>
    </row>
    <row r="103" spans="2:4">
      <c r="C103" s="15" t="s">
        <v>92</v>
      </c>
      <c r="D103" s="16">
        <v>28060</v>
      </c>
    </row>
    <row r="104" spans="2:4">
      <c r="C104" s="15" t="s">
        <v>120</v>
      </c>
      <c r="D104" s="16">
        <v>150240</v>
      </c>
    </row>
    <row r="106" spans="2:4" ht="18.75">
      <c r="B106" s="4" t="s">
        <v>131</v>
      </c>
    </row>
    <row r="108" spans="2:4">
      <c r="C108" s="19">
        <f>11/46</f>
        <v>0.2391304347826087</v>
      </c>
    </row>
    <row r="110" spans="2:4" ht="18.75">
      <c r="B110" s="4" t="s">
        <v>132</v>
      </c>
    </row>
    <row r="111" spans="2:4">
      <c r="C111" s="14" t="s">
        <v>119</v>
      </c>
      <c r="D111" t="s">
        <v>122</v>
      </c>
    </row>
    <row r="112" spans="2:4">
      <c r="C112" s="15" t="s">
        <v>13</v>
      </c>
      <c r="D112" s="8">
        <v>14076.08695652174</v>
      </c>
    </row>
    <row r="113" spans="2:5">
      <c r="C113" s="20" t="s">
        <v>10</v>
      </c>
      <c r="D113" s="8">
        <v>13983.181818181818</v>
      </c>
    </row>
    <row r="114" spans="2:5">
      <c r="C114" s="20" t="s">
        <v>16</v>
      </c>
      <c r="D114" s="8">
        <v>16120</v>
      </c>
    </row>
    <row r="115" spans="2:5">
      <c r="C115" s="15" t="s">
        <v>9</v>
      </c>
      <c r="D115" s="8">
        <v>22412.608695652172</v>
      </c>
    </row>
    <row r="116" spans="2:5">
      <c r="C116" s="20" t="s">
        <v>10</v>
      </c>
      <c r="D116" s="8">
        <v>20222.307692307691</v>
      </c>
    </row>
    <row r="117" spans="2:5">
      <c r="C117" s="20" t="s">
        <v>16</v>
      </c>
      <c r="D117" s="8">
        <v>25260</v>
      </c>
    </row>
    <row r="118" spans="2:5">
      <c r="C118" s="15" t="s">
        <v>120</v>
      </c>
      <c r="D118" s="8">
        <v>18244.347826086956</v>
      </c>
    </row>
    <row r="120" spans="2:5" ht="18.75">
      <c r="B120" s="4" t="s">
        <v>133</v>
      </c>
    </row>
    <row r="121" spans="2:5">
      <c r="C121" s="5" t="s">
        <v>1</v>
      </c>
      <c r="D121" s="5" t="s">
        <v>3</v>
      </c>
      <c r="E121" s="5" t="s">
        <v>5</v>
      </c>
    </row>
    <row r="122" spans="2:5">
      <c r="C122" s="12">
        <f>CORREL('Healthcare Insurance'!B3:B48,'Healthcare Insurance'!H3:H48)</f>
        <v>0.79545484543751266</v>
      </c>
      <c r="D122" s="12">
        <f>CORREL('Healthcare Insurance'!D2:D47,'Healthcare Insurance'!H2:H47)</f>
        <v>0.70708976726182349</v>
      </c>
      <c r="E122" s="5"/>
    </row>
  </sheetData>
  <conditionalFormatting pivot="1" sqref="D99:D103">
    <cfRule type="top10" priority="2" rank="5"/>
  </conditionalFormatting>
  <conditionalFormatting pivot="1" sqref="D99:D103">
    <cfRule type="top10" dxfId="33" priority="1" rank="5"/>
  </conditionalFormatting>
  <pageMargins left="0.7" right="0.7" top="0.75" bottom="0.75" header="0.3" footer="0.3"/>
  <pageSetup orientation="portrait" r:id="rId4"/>
  <tableParts count="7"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 Insurance</vt:lpstr>
      <vt:lpstr>Stakholder Prlm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2025-12-25T09:23:27Z</dcterms:created>
  <dcterms:modified xsi:type="dcterms:W3CDTF">2025-12-28T14:10:04Z</dcterms:modified>
</cp:coreProperties>
</file>